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defaultThemeVersion="166925"/>
  <mc:AlternateContent xmlns:mc="http://schemas.openxmlformats.org/markup-compatibility/2006">
    <mc:Choice Requires="x15">
      <x15ac:absPath xmlns:x15ac="http://schemas.microsoft.com/office/spreadsheetml/2010/11/ac" url="D:\Codeakb\Sales and CRM Assistant\"/>
    </mc:Choice>
  </mc:AlternateContent>
  <xr:revisionPtr revIDLastSave="0" documentId="13_ncr:1_{E4980BEC-D8FF-474E-9A46-6D44B749CD23}" xr6:coauthVersionLast="43" xr6:coauthVersionMax="43" xr10:uidLastSave="{00000000-0000-0000-0000-000000000000}"/>
  <bookViews>
    <workbookView xWindow="5760" yWindow="1488" windowWidth="17280" windowHeight="8880" xr2:uid="{00000000-000D-0000-FFFF-FFFF00000000}"/>
  </bookViews>
  <sheets>
    <sheet name="Summary" sheetId="1" r:id="rId1"/>
    <sheet name="Volume Sizing" sheetId="2" r:id="rId2"/>
    <sheet name="Inference" sheetId="3" r:id="rId3"/>
    <sheet name="Inference (Groq)" sheetId="4" r:id="rId4"/>
    <sheet name="Embeddings" sheetId="5" r:id="rId5"/>
    <sheet name="Infrastructure" sheetId="6" r:id="rId6"/>
    <sheet name="Cost Savings" sheetId="7" r:id="rId7"/>
    <sheet name="Sources &amp; Assumptions" sheetId="8" r:id="rId8"/>
  </sheet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25" i="7" l="1"/>
  <c r="E17" i="7"/>
  <c r="E7" i="7"/>
  <c r="E8" i="7" s="1"/>
  <c r="D10" i="6"/>
  <c r="E26" i="7" s="1"/>
  <c r="C10" i="6"/>
  <c r="E47" i="1" s="1"/>
  <c r="G8" i="5"/>
  <c r="D8" i="5"/>
  <c r="H19" i="4"/>
  <c r="F19" i="4"/>
  <c r="E19" i="4"/>
  <c r="J19" i="4" s="1"/>
  <c r="K19" i="4" s="1"/>
  <c r="H18" i="4"/>
  <c r="F18" i="4"/>
  <c r="H17" i="4"/>
  <c r="F17" i="4"/>
  <c r="D17" i="4"/>
  <c r="H16" i="4"/>
  <c r="F16" i="4"/>
  <c r="H15" i="4"/>
  <c r="F15" i="4"/>
  <c r="H14" i="4"/>
  <c r="F14" i="4"/>
  <c r="C119" i="3"/>
  <c r="C120" i="3" s="1"/>
  <c r="C112" i="3"/>
  <c r="C110" i="3"/>
  <c r="C109" i="3"/>
  <c r="C111" i="3" s="1"/>
  <c r="D19" i="4" s="1"/>
  <c r="D19" i="1" s="1"/>
  <c r="I103" i="3"/>
  <c r="I102" i="3"/>
  <c r="I101" i="3"/>
  <c r="C93" i="3"/>
  <c r="C91" i="3"/>
  <c r="I84" i="3"/>
  <c r="I83" i="3"/>
  <c r="I82" i="3"/>
  <c r="C72" i="3"/>
  <c r="C73" i="3" s="1"/>
  <c r="C68" i="3"/>
  <c r="E17" i="4" s="1"/>
  <c r="I65" i="3"/>
  <c r="I64" i="3"/>
  <c r="J64" i="3" s="1"/>
  <c r="N64" i="3" s="1"/>
  <c r="F68" i="3" s="1"/>
  <c r="H64" i="3"/>
  <c r="I63" i="3"/>
  <c r="H63" i="3"/>
  <c r="J63" i="3" s="1"/>
  <c r="C53" i="3"/>
  <c r="C52" i="3"/>
  <c r="C49" i="3"/>
  <c r="C51" i="3" s="1"/>
  <c r="I46" i="3"/>
  <c r="I45" i="3"/>
  <c r="I44" i="3"/>
  <c r="C36" i="3"/>
  <c r="C34" i="3"/>
  <c r="I27" i="3"/>
  <c r="I26" i="3"/>
  <c r="I25" i="3"/>
  <c r="C17" i="3"/>
  <c r="C15" i="3"/>
  <c r="I8" i="3"/>
  <c r="I7" i="3"/>
  <c r="I6" i="3"/>
  <c r="D30" i="2"/>
  <c r="C101" i="3" s="1"/>
  <c r="C106" i="3" s="1"/>
  <c r="D26" i="2"/>
  <c r="D16" i="4" s="1"/>
  <c r="D8" i="1" s="1"/>
  <c r="D25" i="2"/>
  <c r="C90" i="3" s="1"/>
  <c r="C92" i="3" s="1"/>
  <c r="D18" i="2"/>
  <c r="G7" i="5" s="1"/>
  <c r="D17" i="2"/>
  <c r="D7" i="5" s="1"/>
  <c r="C13" i="2"/>
  <c r="C12" i="2"/>
  <c r="D31" i="2" s="1"/>
  <c r="E14" i="1"/>
  <c r="D9" i="1"/>
  <c r="C54" i="3" l="1"/>
  <c r="H65" i="3"/>
  <c r="J65" i="3" s="1"/>
  <c r="N65" i="3" s="1"/>
  <c r="D9" i="5"/>
  <c r="D10" i="5" s="1"/>
  <c r="H44" i="3"/>
  <c r="J44" i="3" s="1"/>
  <c r="D18" i="4"/>
  <c r="D10" i="1" s="1"/>
  <c r="J17" i="4"/>
  <c r="K17" i="4" s="1"/>
  <c r="E9" i="1" s="1"/>
  <c r="H103" i="3"/>
  <c r="J103" i="3" s="1"/>
  <c r="K103" i="3" s="1"/>
  <c r="N102" i="3"/>
  <c r="H101" i="3"/>
  <c r="J101" i="3" s="1"/>
  <c r="N103" i="3"/>
  <c r="O103" i="3" s="1"/>
  <c r="H102" i="3"/>
  <c r="J102" i="3" s="1"/>
  <c r="K102" i="3" s="1"/>
  <c r="C108" i="3"/>
  <c r="K64" i="3"/>
  <c r="C122" i="3"/>
  <c r="K24" i="4"/>
  <c r="K25" i="4" s="1"/>
  <c r="K26" i="4" s="1"/>
  <c r="E19" i="1" s="1"/>
  <c r="N63" i="3"/>
  <c r="O63" i="3" s="1"/>
  <c r="K63" i="3"/>
  <c r="K65" i="3"/>
  <c r="G9" i="5"/>
  <c r="G10" i="5" s="1"/>
  <c r="K44" i="3"/>
  <c r="N44" i="3"/>
  <c r="O65" i="3"/>
  <c r="E16" i="4"/>
  <c r="J16" i="4" s="1"/>
  <c r="K16" i="4" s="1"/>
  <c r="E8" i="1" s="1"/>
  <c r="H46" i="3"/>
  <c r="J46" i="3" s="1"/>
  <c r="O64" i="3"/>
  <c r="O67" i="3" s="1"/>
  <c r="D19" i="2"/>
  <c r="D20" i="2" s="1"/>
  <c r="H45" i="3"/>
  <c r="J45" i="3" s="1"/>
  <c r="C70" i="3"/>
  <c r="C25" i="3" l="1"/>
  <c r="C30" i="3" s="1"/>
  <c r="C6" i="3"/>
  <c r="C11" i="3" s="1"/>
  <c r="C82" i="3"/>
  <c r="C87" i="3" s="1"/>
  <c r="C11" i="4"/>
  <c r="K45" i="3"/>
  <c r="N45" i="3"/>
  <c r="O45" i="3" s="1"/>
  <c r="O44" i="3"/>
  <c r="O48" i="3" s="1"/>
  <c r="F49" i="3"/>
  <c r="N101" i="3"/>
  <c r="O101" i="3" s="1"/>
  <c r="K101" i="3"/>
  <c r="E9" i="7"/>
  <c r="E10" i="7" s="1"/>
  <c r="E19" i="7" s="1"/>
  <c r="D22" i="2"/>
  <c r="C33" i="3"/>
  <c r="C35" i="3" s="1"/>
  <c r="D23" i="5"/>
  <c r="D24" i="5" s="1"/>
  <c r="D26" i="5" s="1"/>
  <c r="D14" i="4"/>
  <c r="D6" i="1" s="1"/>
  <c r="E5" i="7"/>
  <c r="F106" i="3"/>
  <c r="O102" i="3"/>
  <c r="O105" i="3" s="1"/>
  <c r="C123" i="3" s="1"/>
  <c r="C124" i="3"/>
  <c r="N46" i="3"/>
  <c r="O46" i="3" s="1"/>
  <c r="K46" i="3"/>
  <c r="E18" i="4" l="1"/>
  <c r="J18" i="4" s="1"/>
  <c r="K18" i="4" s="1"/>
  <c r="E10" i="1" s="1"/>
  <c r="E14" i="4"/>
  <c r="J14" i="4" s="1"/>
  <c r="E15" i="4"/>
  <c r="J15" i="4" s="1"/>
  <c r="H83" i="3"/>
  <c r="J83" i="3" s="1"/>
  <c r="K83" i="3" s="1"/>
  <c r="C89" i="3"/>
  <c r="H84" i="3"/>
  <c r="J84" i="3" s="1"/>
  <c r="K84" i="3" s="1"/>
  <c r="H82" i="3"/>
  <c r="J82" i="3" s="1"/>
  <c r="N83" i="3"/>
  <c r="N84" i="3"/>
  <c r="O84" i="3" s="1"/>
  <c r="C13" i="3"/>
  <c r="H8" i="3"/>
  <c r="J8" i="3" s="1"/>
  <c r="N8" i="3"/>
  <c r="H6" i="3"/>
  <c r="J6" i="3" s="1"/>
  <c r="N6" i="3" s="1"/>
  <c r="O6" i="3" s="1"/>
  <c r="H7" i="3"/>
  <c r="J7" i="3" s="1"/>
  <c r="N7" i="3"/>
  <c r="D13" i="1"/>
  <c r="C14" i="3"/>
  <c r="C16" i="3" s="1"/>
  <c r="J7" i="5"/>
  <c r="J9" i="5" s="1"/>
  <c r="J10" i="5" s="1"/>
  <c r="D15" i="5" s="1"/>
  <c r="D17" i="5" s="1"/>
  <c r="D29" i="5" s="1"/>
  <c r="D15" i="4"/>
  <c r="D7" i="1" s="1"/>
  <c r="N26" i="3"/>
  <c r="O26" i="3" s="1"/>
  <c r="H26" i="3"/>
  <c r="J26" i="3" s="1"/>
  <c r="K26" i="3" s="1"/>
  <c r="C32" i="3"/>
  <c r="H27" i="3"/>
  <c r="J27" i="3" s="1"/>
  <c r="K27" i="3" s="1"/>
  <c r="H25" i="3"/>
  <c r="J25" i="3" s="1"/>
  <c r="N27" i="3"/>
  <c r="O27" i="3" s="1"/>
  <c r="F11" i="3" l="1"/>
  <c r="O7" i="3"/>
  <c r="O10" i="3" s="1"/>
  <c r="K82" i="3"/>
  <c r="N82" i="3"/>
  <c r="O82" i="3" s="1"/>
  <c r="O8" i="3"/>
  <c r="K15" i="4"/>
  <c r="E7" i="1" s="1"/>
  <c r="K7" i="3"/>
  <c r="E26" i="1" s="1"/>
  <c r="K8" i="3"/>
  <c r="K6" i="3"/>
  <c r="E45" i="1"/>
  <c r="E46" i="1" s="1"/>
  <c r="K14" i="4"/>
  <c r="N25" i="3"/>
  <c r="K25" i="3"/>
  <c r="F87" i="3"/>
  <c r="O83" i="3"/>
  <c r="O86" i="3" s="1"/>
  <c r="O25" i="3" l="1"/>
  <c r="O29" i="3" s="1"/>
  <c r="K32" i="4" s="1"/>
  <c r="E25" i="1" s="1"/>
  <c r="F30" i="3"/>
  <c r="K21" i="4"/>
  <c r="E6" i="1"/>
  <c r="E24" i="1" l="1"/>
  <c r="E12" i="1"/>
  <c r="E24" i="7" s="1"/>
  <c r="E27" i="7" s="1"/>
  <c r="E30" i="1"/>
  <c r="K31" i="4"/>
  <c r="E29" i="1" s="1"/>
  <c r="K30" i="4"/>
  <c r="E28" i="1" s="1"/>
  <c r="K29" i="4"/>
  <c r="E27" i="1" s="1"/>
  <c r="E28" i="7" l="1"/>
  <c r="E30" i="7"/>
  <c r="E31" i="7" s="1"/>
  <c r="E13" i="1"/>
  <c r="E17" i="1" l="1"/>
  <c r="E15" i="1"/>
  <c r="E16" i="1" l="1"/>
  <c r="E20" i="1"/>
  <c r="F20" i="1" s="1"/>
</calcChain>
</file>

<file path=xl/sharedStrings.xml><?xml version="1.0" encoding="utf-8"?>
<sst xmlns="http://schemas.openxmlformats.org/spreadsheetml/2006/main" count="600" uniqueCount="429">
  <si>
    <t>AtliQ Sales and CRM Assistant: monthly running cost estimate (Capstone 1, Step 4)</t>
  </si>
  <si>
    <t>Author: Ashokkumar, AI Product Manager. Builds on the AI PRD and the AI Opportunity Map. Updated 4 Oct 2026 to match the Step 5 prototype: GPT-OSS models on Groq, no embeddings, no database in the prototype. Prices checked 4 Oct 2026 on the providers' official pages (see 'Sources &amp; Assumptions'). All figures in USD.</t>
  </si>
  <si>
    <t>Cost line</t>
  </si>
  <si>
    <t>Model / service</t>
  </si>
  <si>
    <t>Calls per month</t>
  </si>
  <si>
    <t>Cost per month</t>
  </si>
  <si>
    <t>Notes</t>
  </si>
  <si>
    <t>F1 Capture &amp; Link (linking, triage, draft leads)</t>
  </si>
  <si>
    <t>GPT-OSS 20B on Groq, prompt caching</t>
  </si>
  <si>
    <t>Every client message and note. Deterministic matching first; the model resolves fuzzy cases, drafts new leads and flags which sources carry a commitment.</t>
  </si>
  <si>
    <t>F2 Commitment &amp; Signal Ledger (extraction + CRM update proposals)</t>
  </si>
  <si>
    <t>GPT-OSS 120B on Groq, prompt caching</t>
  </si>
  <si>
    <t>Only sources flagged by F1 (~40%). Strict JSON-schema output; quotes are verified in code, so a cheaper model is safe here.</t>
  </si>
  <si>
    <t>F3 Daily Brief (one-line summaries)</t>
  </si>
  <si>
    <t>GPT-OSS 120B on Groq, real time</t>
  </si>
  <si>
    <t>Ranking is code; the model restates ledger facts. Real time because Groq's Batch API has a 24-hour minimum window and is off under zero data retention.</t>
  </si>
  <si>
    <t>F3 Pipeline review pack</t>
  </si>
  <si>
    <t>Weekly and monthly pack for the founders' review.</t>
  </si>
  <si>
    <t>F4 Reply drafts (copy only, never sent)</t>
  </si>
  <si>
    <t>On demand from the brief; per-account context only. Unsafe drafts are retried once, then withheld.</t>
  </si>
  <si>
    <t>Embeddings</t>
  </si>
  <si>
    <t>None</t>
  </si>
  <si>
    <t>Not used: rules plus the F1 model linked 50 of 50 dataset sources. Voyage kept as an option (see 'Embeddings').</t>
  </si>
  <si>
    <t>Buffer for retries, weekly eval re-runs and prompt growth</t>
  </si>
  <si>
    <t>25% of AI cost</t>
  </si>
  <si>
    <t>Covers the weekly audit of 10 threads, re-running the 50-file eval set before each rollout gate, and failed calls.</t>
  </si>
  <si>
    <t>AI subtotal</t>
  </si>
  <si>
    <t>Variable cost: grows roughly in line with message volume.</t>
  </si>
  <si>
    <t>Vercel Pro (1 seat) + Supabase Pro</t>
  </si>
  <si>
    <t>Hosting, database, cron</t>
  </si>
  <si>
    <t>Fixed cost. The prototype runs on Vercel Hobby with no database ($0); commercial use for AtliQ needs Vercel Pro, and the 12-month audit log needs a real database (see Infrastructure).</t>
  </si>
  <si>
    <t>MVP TOTAL PER MONTH</t>
  </si>
  <si>
    <t>F1 to F4, 4 sellers</t>
  </si>
  <si>
    <t>MVP COST PER SELLER PER MONTH</t>
  </si>
  <si>
    <t>AI cost per seller per month (excluding fixed hosting)</t>
  </si>
  <si>
    <t>What each additional seller would add (fixed hosting is shared).</t>
  </si>
  <si>
    <t>Post-MVP add-on: Voice capture (O8)</t>
  </si>
  <si>
    <t>Whisper large v3 turbo + GPT-OSS 120B on Groq</t>
  </si>
  <si>
    <t>2 voice notes per seller per workday, 1.5 minutes each; includes the 25% buffer.</t>
  </si>
  <si>
    <t>Total per month with voice capture</t>
  </si>
  <si>
    <t>How cost shaped the model choices (monthly AI cost, before buffer and hosting)</t>
  </si>
  <si>
    <t>Scenario</t>
  </si>
  <si>
    <t>AI cost / month</t>
  </si>
  <si>
    <t>What it tells us</t>
  </si>
  <si>
    <t>Chosen mix (GPT-OSS 20B for linking; 120B for extraction, brief, pack and drafts; prompt caching)</t>
  </si>
  <si>
    <t>The MVP plan above, as the prototype runs it.</t>
  </si>
  <si>
    <t>Previous plan: Claude Haiku 4.5 + Sonnet 5.5, caching and batch</t>
  </si>
  <si>
    <t>The Step 4 plan before the prototype moved to Groq. About eight times the chosen mix, though still small next to hosting.</t>
  </si>
  <si>
    <t>Everything on Claude Sonnet 5.5, no caching</t>
  </si>
  <si>
    <t>The fallback if GPT-OSS quality drops on real mail: the Claude path is still in the code (set ANTHROPIC_API_KEY).</t>
  </si>
  <si>
    <t>Everything on GPT-OSS 120B (no 20B triage)</t>
  </si>
  <si>
    <t>Cents more than the chosen mix; an option if the 20B model's linking proves unreliable.</t>
  </si>
  <si>
    <t>Chosen mix, but no F1 triage gate (every source goes to extraction)</t>
  </si>
  <si>
    <t>The 'has commitment' flag still cuts the extraction volume by 60%.</t>
  </si>
  <si>
    <t>Chosen mix, raw threads with quoted history and signatures (about 4x source tokens)</t>
  </si>
  <si>
    <t>Why pre-processing strips signatures and quoted replies before any model call, and why extraction tokens per source are capped (PRD NFR 'Cost').</t>
  </si>
  <si>
    <t>Chosen mix at 3x volume (12 sellers or a busier inbox)</t>
  </si>
  <si>
    <t>Still small next to hosting; the design scales without a model change.</t>
  </si>
  <si>
    <t>Cost as a product decision: what it changed in scope</t>
  </si>
  <si>
    <t>Decision</t>
  </si>
  <si>
    <t>Effect on cost</t>
  </si>
  <si>
    <t>Effect on the product</t>
  </si>
  <si>
    <t>Two-tier models: GPT-OSS 20B gates every source, 120B only on sources with a commitment and on everything a seller reads</t>
  </si>
  <si>
    <t>Roughly halves F1 cost versus running it on 120B</t>
  </si>
  <si>
    <t>Keeps the stronger model where recall and quotes matter (the North Star) and the cheap one for volume.</t>
  </si>
  <si>
    <t>Deterministic code for ranking, due dates, duplicate thresholds and exact matches</t>
  </si>
  <si>
    <t>Removes calls entirely</t>
  </si>
  <si>
    <t>Also makes the brief explainable: the ranking rule is shown, not guessed by a model.</t>
  </si>
  <si>
    <t>Prompt caching on the static schema, rules and few-shot prefix (Groq: automatic, 50% off cached input, 2-hour expiry)</t>
  </si>
  <si>
    <t>About 15% off F2 (output and reasoning tokens dominate); less on drafts</t>
  </si>
  <si>
    <t>Lets us keep rich few-shot examples (better recall) without paying full price on every call. No code change needed.</t>
  </si>
  <si>
    <t>No Batch API for the brief and review pack</t>
  </si>
  <si>
    <t>Gives up 50% on lines that cost cents</t>
  </si>
  <si>
    <t>Groq's batch window is 24 hours minimum (too slow for the 08:00 brief) and batch needs data retention, which zero data retention switches off.</t>
  </si>
  <si>
    <t>CRM update proposals come out of the F2 extraction call</t>
  </si>
  <si>
    <t>No extra calls for F4 proposals</t>
  </si>
  <si>
    <t>One source of truth: every proposal cites the same quote as its ledger item.</t>
  </si>
  <si>
    <t>Strip signatures and quoted history; cap tokens per source</t>
  </si>
  <si>
    <t>Avoids roughly 4x token growth</t>
  </si>
  <si>
    <t>Also stops old quoted text being extracted twice as a new commitment.</t>
  </si>
  <si>
    <t>No RAG chatbot, no web enrichment, no lead scoring</t>
  </si>
  <si>
    <t>Avoids open-ended query volume</t>
  </si>
  <si>
    <t>Matches the PRD's out-of-scope list; the pain is forgetting, not searching.</t>
  </si>
  <si>
    <t>Voice capture deferred to after MVP</t>
  </si>
  <si>
    <t>Adds about the cost shown above when switched on</t>
  </si>
  <si>
    <t>Cheap enough to be first after MVP; the seller picks the account in the app, so no linking call is needed.</t>
  </si>
  <si>
    <t>Provider switched from Claude to Groq after the prototype</t>
  </si>
  <si>
    <t>About 88% off inference</t>
  </si>
  <si>
    <t>Same grounding checks in code, so quality risk is caught by the evals. Trade-offs: US data processing and occasional date slips; Claude stays as a coded fallback.</t>
  </si>
  <si>
    <t>Prototype phase (Step 5, one-off)</t>
  </si>
  <si>
    <t>Item</t>
  </si>
  <si>
    <t>Quantity</t>
  </si>
  <si>
    <t>Cost</t>
  </si>
  <si>
    <t>Basis</t>
  </si>
  <si>
    <t>One full run over the dataset (50 files, 4 briefs, 1 pack, 20 drafts)</t>
  </si>
  <si>
    <t>Every dataset file goes through both F1 and F2, priced on Groq. The committed demo outputs were generated with Claude during the build.</t>
  </si>
  <si>
    <t>Eval and prompt iterations during the build</t>
  </si>
  <si>
    <t>Assumption: about 40 full runs while tuning prompts and thresholds to pass the Section 11 evals.</t>
  </si>
  <si>
    <t>Hosting during the prototype</t>
  </si>
  <si>
    <t>Vercel Hobby, no database (decisions stored in the browser), as the capstone guidelines require free tiers.</t>
  </si>
  <si>
    <t>Volume sizing: from the Dataset to a realistic month (4 sellers)</t>
  </si>
  <si>
    <t>Dataset measured on 3 Oct 2026 (word counts of every file in Dataset/emails and Dataset/meeting_notes). Yellow cells are assumptions you can change; everything else is a formula. Row 30 applies to the Claude comparison only; GPT-OSS uses 1.3 tokens per word ('Inference (Groq)'!C10).</t>
  </si>
  <si>
    <t>Measure</t>
  </si>
  <si>
    <t>Dataset (measured)</t>
  </si>
  <si>
    <t>Realistic month (base case)</t>
  </si>
  <si>
    <t>How it was scaled</t>
  </si>
  <si>
    <t>Sellers using the brief</t>
  </si>
  <si>
    <t>Bhavin, Dhaval, Karandeep, Jay (Pranav and Ayush only receive routed tasks).</t>
  </si>
  <si>
    <t>CRM accounts</t>
  </si>
  <si>
    <t>PRD NFR 'Scalability': sized for about 200 accounts, roughly 50 per seller.</t>
  </si>
  <si>
    <t>Email threads in the dataset</t>
  </si>
  <si>
    <t>25 of them fall in the active window 3 Jun to 8 Jul 2026 (about 5 weeks).</t>
  </si>
  <si>
    <t>Average words per email</t>
  </si>
  <si>
    <t>Measured 134 (min 57, max 182) per curated thread. Real messages run longer, but pre-processing strips signatures and quoted history, so 150 words per new message.</t>
  </si>
  <si>
    <t>Meeting notes in the dataset</t>
  </si>
  <si>
    <t>14 of them fall in the 3 Jun to 9 Jul window.</t>
  </si>
  <si>
    <t>Average words per meeting note</t>
  </si>
  <si>
    <t>Measured 99 (min 29, max 181). Allow for longer QBR-style notes.</t>
  </si>
  <si>
    <t>Dataset run-rate: email threads per month</t>
  </si>
  <si>
    <t>25 threads in about 5 weeks, times 4.33 weeks per month. This only covers the ~40 tracked accounts and one message per thread.</t>
  </si>
  <si>
    <t>Dataset run-rate: meeting notes per month</t>
  </si>
  <si>
    <t>14 notes in about 5 weeks.</t>
  </si>
  <si>
    <t>Client and prospect messages per seller per workday</t>
  </si>
  <si>
    <t>Sent plus received, after a deterministic filter drops internal mail, newsletters and auto-replies by domain. Matches the PRD NFR of about 1,500 emails a month.</t>
  </si>
  <si>
    <t>Meeting notes per seller per workday</t>
  </si>
  <si>
    <t>About 8 to 9 client meetings or calls per seller per week, matching the PRD NFR of about 150 notes a month.</t>
  </si>
  <si>
    <t>Workdays per month</t>
  </si>
  <si>
    <t>Daily brief and ingestion run on AtliQ business days.</t>
  </si>
  <si>
    <t>Client messages per month</t>
  </si>
  <si>
    <t>Sellers x messages per day x workdays.</t>
  </si>
  <si>
    <t>Meeting notes per month</t>
  </si>
  <si>
    <t>Sellers x notes per day x workdays.</t>
  </si>
  <si>
    <t>Total sources per month (every one gets the F1 linking pass)</t>
  </si>
  <si>
    <t>Weighted average words per source</t>
  </si>
  <si>
    <t>Share of sources carrying an ask, promise or signal</t>
  </si>
  <si>
    <t>In the curated dataset almost every file carries an item; in a real mailbox many messages are 'thanks' or scheduling noise. F1 flags these so only ~40% go to the more expensive F2 extraction.</t>
  </si>
  <si>
    <t>Sources sent to F2 extraction per month</t>
  </si>
  <si>
    <t>Reply drafts requested per seller per workday</t>
  </si>
  <si>
    <t>Dataset shows 37 asks and promises in 5 weeks for 40 accounts (Appendix A); x5 accounts gives about 160 a month, and sellers also ask for drafts on follow-ups.</t>
  </si>
  <si>
    <t>Draft regenerations (share of drafts)</t>
  </si>
  <si>
    <t>Seller asks for a second version.</t>
  </si>
  <si>
    <t>Reply drafts per month</t>
  </si>
  <si>
    <t>Daily briefs per month</t>
  </si>
  <si>
    <t>One per seller per workday at 08:00 IST.</t>
  </si>
  <si>
    <t>Pipeline review packs per month</t>
  </si>
  <si>
    <t>Weekly pack plus the monthly review pack.</t>
  </si>
  <si>
    <t>Voice notes per seller per workday (post-MVP)</t>
  </si>
  <si>
    <t>Quick capture after a call or meeting (O8, first feature after MVP).</t>
  </si>
  <si>
    <t>Average minutes per voice note (post-MVP)</t>
  </si>
  <si>
    <t>Claude tokens per word</t>
  </si>
  <si>
    <t>Template uses 1.3 tokens per word. Anthropic's pricing page says Claude 4.7 and later models use a tokenizer that produces about 30% more tokens, so 1.69 is used for every Claude task (slightly conservative for Haiku 4.5).</t>
  </si>
  <si>
    <t>Cross-check: dataset-derived commitment-bearing messages per month</t>
  </si>
  <si>
    <t>Dataset run-rate x5 accounts x about 4 messages per thread. About two-thirds of the F2 volume above, so the base case is consistent with the dataset and carries about 50% headroom.</t>
  </si>
  <si>
    <t>Claude option (previous plan, kept for comparison): inference cost per AI task on the Claude API. Prices from platform.claude.com/docs/en/about-claude/pricing, checked 3 Oct 2026. The chosen stack is on 'Inference (Groq)', which reuses the prompt sizes below.</t>
  </si>
  <si>
    <t>Base Calculation: F2 Commitment &amp; Signal Ledger: extraction (real time)</t>
  </si>
  <si>
    <t>Model Selection + Cost Estimation: F2 Commitment &amp; Signal Ledger: extraction (real time)</t>
  </si>
  <si>
    <t>Description</t>
  </si>
  <si>
    <t>Model Name</t>
  </si>
  <si>
    <t>Input cost($) per 1M token</t>
  </si>
  <si>
    <t>Output cost($) per 1M token</t>
  </si>
  <si>
    <t>Cost per input Query($)</t>
  </si>
  <si>
    <t>Cost per output query Query($)</t>
  </si>
  <si>
    <t>Total Cost per query</t>
  </si>
  <si>
    <t>Total cost per month</t>
  </si>
  <si>
    <t>Cache read ($) per 1M token</t>
  </si>
  <si>
    <t>Min. cacheable prefix (tokens)</t>
  </si>
  <si>
    <t>Cost per query with caching ($)</t>
  </si>
  <si>
    <t>Total cost per month with caching</t>
  </si>
  <si>
    <t>Source message (new email or note, stripped) - avg words x 1.69 + 40 header tokens</t>
  </si>
  <si>
    <t>Claude Haiku 4.5</t>
  </si>
  <si>
    <t>System prompt, ledger schema and guardrail rules (cached)</t>
  </si>
  <si>
    <t>Claude Sonnet 5.5  &lt;&lt; Claude plan</t>
  </si>
  <si>
    <t>Few-shot examples from Appendix A (cached)</t>
  </si>
  <si>
    <t>Claude Opus 5.5</t>
  </si>
  <si>
    <t>Account context: CRM record + open ledger rows for this account</t>
  </si>
  <si>
    <t>Team directory and reference date (cached)</t>
  </si>
  <si>
    <t>Claude plan, monthly cost</t>
  </si>
  <si>
    <t>Claude Sonnet 5.5</t>
  </si>
  <si>
    <t>Total input tokens per query</t>
  </si>
  <si>
    <t>Claude plan, cost per query</t>
  </si>
  <si>
    <t>Total Output tokens per query</t>
  </si>
  <si>
    <t>Total Token per query</t>
  </si>
  <si>
    <t>Total queries received per day</t>
  </si>
  <si>
    <t>Total number of days per month</t>
  </si>
  <si>
    <t>Total monthly volume of queries</t>
  </si>
  <si>
    <t>Cacheable static prefix (tokens)</t>
  </si>
  <si>
    <t>Expected cache-hit rate</t>
  </si>
  <si>
    <t>Cache write multiplier (1-hour cache = 2x)</t>
  </si>
  <si>
    <t>Why Sonnet 5.5: this step decides the North Star. Recall must be at least 90% and every item needs a verbatim quote, so a mid-tier model with reliable JSON is worth 2x Haiku. Opus 5.5 costs 2x Sonnet for a gain the evals have not shown is needed. Haiku 4.5 is the fallback: if it matches Sonnet on the Appendix A eval set in alpha, switch and save about half of this line. Real time (not Batch) because the PRD needs a new email linked and extracted within 15 minutes. Output (~2.5 items x 140 tokens + proposed CRM field changes) also carries the F4 CRM update proposals, so they need no extra call. Caching: the 3,400-token static prefix uses the 1-hour cache (2x write, 0.1x read); about 30 calls a workday keep it warm, so ~90% are hits. Haiku 4.5 cannot cache it (minimum 4,096 tokens).</t>
  </si>
  <si>
    <t>Base Calculation: F1 Capture &amp; Link: account linking and triage (real time)</t>
  </si>
  <si>
    <t>Model Selection + Cost Estimation: F1 Capture &amp; Link: account linking and triage (real time)</t>
  </si>
  <si>
    <t>Quantity (tokens)</t>
  </si>
  <si>
    <t>Source message (new email or note, stripped)</t>
  </si>
  <si>
    <t>Claude Haiku 4.5  &lt;&lt; Claude plan</t>
  </si>
  <si>
    <t>System prompt and output schema</t>
  </si>
  <si>
    <t>Candidate accounts shortlist (top 5 from deterministic + embedding match)</t>
  </si>
  <si>
    <t>Team directory and AtliQ domains</t>
  </si>
  <si>
    <t>Possible duplicate CRM rows (for the merge flag)</t>
  </si>
  <si>
    <t>Why Haiku 4.5: exact matches on contact email, domain and lead_id are done in code first; the model only resolves fuzzy names ('Meridian Health LLC' vs 'Meridian Healthcare'), drafts new leads, flags duplicates and sets a 'has commitment' flag. That is short classification against a 5-row shortlist, the highest-volume call, and the cheapest model is enough. The 'has commitment' flag is the main cost lever: only ~40% of sources go on to the Sonnet extraction. No caching: the 800-token prefix is below Haiku's 4,096-token minimum.</t>
  </si>
  <si>
    <t>Base Calculation: F3 Daily Brief: one-line summaries (nightly, Batch API)</t>
  </si>
  <si>
    <t>Model Selection + Cost Estimation: F3 Daily Brief: one-line summaries (nightly, Batch API)</t>
  </si>
  <si>
    <t>Batch input cost($) per 1M token</t>
  </si>
  <si>
    <t>Batch output cost($) per 1M token</t>
  </si>
  <si>
    <t>Seller's top 10 ranked ledger items (10 x 150 tokens)</t>
  </si>
  <si>
    <t>Claude Haiku 4.5 (Batch API)  &lt;&lt; Claude plan</t>
  </si>
  <si>
    <t>System prompt and style rules</t>
  </si>
  <si>
    <t>Claude Sonnet 5.5 (Batch API)</t>
  </si>
  <si>
    <t>Unassigned items shown on founders' briefs (3 x 150)</t>
  </si>
  <si>
    <t>Claude Opus 5.5 (Batch API)</t>
  </si>
  <si>
    <t>Seller name, date, weekly North Star line</t>
  </si>
  <si>
    <t>Sources-scanned count and stale flags</t>
  </si>
  <si>
    <t>Why Haiku 4.5 on the Batch API: ranking is deterministic code; the model only restates ledger facts in one line per item, which needs no reasoning. Briefs are submitted as one batch at 23:00 IST for the 08:00 deadline, so the 50% batch discount is free; if the batch is not back by 07:00 the app falls back to a real-time call.</t>
  </si>
  <si>
    <t>Base Calculation: F3 Pipeline review pack (weekly and monthly, Batch API)</t>
  </si>
  <si>
    <t>Model Selection + Cost Estimation: F3 Pipeline review pack (weekly and monthly, Batch API)</t>
  </si>
  <si>
    <t>Open and overdue ledger items (about 120 x 100 tokens)</t>
  </si>
  <si>
    <t>Claude Haiku 4.5 (Batch API)</t>
  </si>
  <si>
    <t>System prompt and pack template</t>
  </si>
  <si>
    <t>Claude Sonnet 5.5 (Batch API)  &lt;&lt; Claude plan</t>
  </si>
  <si>
    <t>CRM gaps and duplicate flags</t>
  </si>
  <si>
    <t>Missing leads and revived signals</t>
  </si>
  <si>
    <t>North Star and supporting metrics</t>
  </si>
  <si>
    <t>Why Sonnet 5.5: the pack groups 100+ items by owner and theme for the founders' review, where a missed or mis-grouped item is costly; at 5 runs a month the model choice barely moves the total. Batch API because the pack is prepared the night before the review. 'Days' here means pack runs per month.</t>
  </si>
  <si>
    <t>Base Calculation: F4 Propose, never act alone: reply drafts (on demand)</t>
  </si>
  <si>
    <t>Model Selection + Cost Estimation: F4 Propose, never act alone: reply drafts (on demand)</t>
  </si>
  <si>
    <t>Account sources: last 3 messages in the thread</t>
  </si>
  <si>
    <t>System prompt, grounding rules and AtliQ tone (cached)</t>
  </si>
  <si>
    <t>Open ledger rows for the account</t>
  </si>
  <si>
    <t>CRM record for the account</t>
  </si>
  <si>
    <t>Seller's instruction (for example 'confirm the slot')</t>
  </si>
  <si>
    <t>Why Sonnet 5.5: drafts go to clients (after the seller edits and sends them), so tone and the 'blanks for unknown prices and dates' rule matter more than the few cents saved with Haiku. Context is only this account's threads, ledger and CRM row (per-account isolation, no cross-client leakage). On demand, so no Batch API. About 15 drafts a workday gives a lower cache-hit rate (70%). CRM field-update proposals come free inside the F2 output.</t>
  </si>
  <si>
    <t>Base Calculation: Post-MVP: Voice capture - extraction from the transcript</t>
  </si>
  <si>
    <t>Model Selection + Cost Estimation: Post-MVP: Voice capture - extraction from the transcript</t>
  </si>
  <si>
    <t>Transcript (1.5 min x 150 words per minute x 1.69)</t>
  </si>
  <si>
    <t>Few-shot examples (cached)</t>
  </si>
  <si>
    <t>Account context (seller picks the account on the phone, so no F1 call)</t>
  </si>
  <si>
    <t>Not part of the MVP total. Same prompt as F2, run on the transcript. Speech-to-text is priced separately below because Claude does not transcribe audio.</t>
  </si>
  <si>
    <t>Post-MVP: Voice capture - speech-to-text</t>
  </si>
  <si>
    <t>Voice notes per month</t>
  </si>
  <si>
    <t>Claude has no speech-to-text API, so the phone app sends audio to OpenAI's gpt-4o-mini-transcribe ($0.003 per minute, the cheapest current option on OpenAI's pricing page; whisper-1 and gpt-4o-transcribe are $0.006). Only the transcript reaches Claude. The audio is deleted after transcription.</t>
  </si>
  <si>
    <t>Minutes per month</t>
  </si>
  <si>
    <t>gpt-4o-mini-transcribe, $ per minute (OpenAI pricing)</t>
  </si>
  <si>
    <t>Speech-to-text cost per month</t>
  </si>
  <si>
    <t>Voice extraction cost per month (block above)</t>
  </si>
  <si>
    <t>Total voice capture add-on per month</t>
  </si>
  <si>
    <t>Inference cost on Groq: the stack the Step 5 prototype runs on (chosen plan)</t>
  </si>
  <si>
    <t>Prices from Groq's model pages (console.groq.com/docs/model/...), checked 4 Oct 2026. Token counts reuse the prompt sizes on the 'Inference' sheet; source text is re-tokenised at 1.3 tokens per word for GPT-OSS. Yellow cells are assumptions to replace with measured usage from the prototype logs.</t>
  </si>
  <si>
    <t>Model on Groq</t>
  </si>
  <si>
    <t>Input $ per 1M tokens</t>
  </si>
  <si>
    <t>Cached input $ per 1M</t>
  </si>
  <si>
    <t>Output $ per 1M tokens</t>
  </si>
  <si>
    <t>openai/gpt-oss-20b</t>
  </si>
  <si>
    <t>Cached input is 50% of input. Caching is automatic for GPT-OSS models, has no write fee, and expires after 2 hours unused.</t>
  </si>
  <si>
    <t>openai/gpt-oss-120b</t>
  </si>
  <si>
    <t>GPT-OSS models are reasoning models: reasoning tokens are billed as output, so an allowance is added per call below.</t>
  </si>
  <si>
    <t>whisper-large-v3-turbo (speech to text), $ per audio hour</t>
  </si>
  <si>
    <t>GPT-OSS tokens per word</t>
  </si>
  <si>
    <t>GPT-OSS uses OpenAI's o200k tokenizer; about 1.3 tokens per English word (the Claude sheet uses 1.69).</t>
  </si>
  <si>
    <t>Source message tokens (stripped email or note, avg words x tokens per word + 40 header)</t>
  </si>
  <si>
    <t>Task</t>
  </si>
  <si>
    <t>Model</t>
  </si>
  <si>
    <t>Input tokens per call</t>
  </si>
  <si>
    <t>Of which cacheable prefix</t>
  </si>
  <si>
    <t>Cache-hit rate</t>
  </si>
  <si>
    <t>Visible output tokens</t>
  </si>
  <si>
    <t>Reasoning tokens (allowance)</t>
  </si>
  <si>
    <t>Cost per call</t>
  </si>
  <si>
    <t>F1 Capture &amp; Link: linking triage and draft leads</t>
  </si>
  <si>
    <t>Rules link exact matches first (contact email, domain, lead_id, company name); the model resolves only what they cannot. In the prototype this pass is gpt-oss-20b.</t>
  </si>
  <si>
    <t>F2 Commitment &amp; Signal Ledger: extraction + CRM proposals</t>
  </si>
  <si>
    <t>Strict JSON-schema output; every quote re-checked in code. Only sources the F1 pass flags (~40%) reach this step.</t>
  </si>
  <si>
    <t>F3 Daily Brief: one-line summaries (real time)</t>
  </si>
  <si>
    <t>Moved from the 20B to the 120B model after the 20B model skipped items in prototype testing. No Batch API: Groq's batch window is 24 hours minimum and is disabled under zero data retention.</t>
  </si>
  <si>
    <t>F3 Pipeline review pack (weekly and monthly, real time)</t>
  </si>
  <si>
    <t>Five runs a month, so caching does not apply (2-hour expiry).</t>
  </si>
  <si>
    <t>Per-account context only. Unsafe drafts are retried once with the reasons, so allow ~10% extra calls inside the 25% buffer.</t>
  </si>
  <si>
    <t>Post-MVP: voice capture extraction from the transcript</t>
  </si>
  <si>
    <t>Not in the MVP total. Same prompt as F2, run on the transcript.</t>
  </si>
  <si>
    <t>MVP inference on Groq per month (F1 to F4, before buffer)</t>
  </si>
  <si>
    <t>Voice capture speech to text (post-MVP)</t>
  </si>
  <si>
    <t>Audio minutes per month</t>
  </si>
  <si>
    <t>Speech-to-text cost per month (whisper-large-v3-turbo, $ per hour / 60)</t>
  </si>
  <si>
    <t>Groq bills each transcription request for at least 10 seconds; 90-second notes are well above that.</t>
  </si>
  <si>
    <t>Voice capture add-on per month (extraction + speech to text)</t>
  </si>
  <si>
    <t>Comparisons (monthly inference, before buffer)</t>
  </si>
  <si>
    <t>Everything on gpt-oss-120b (no 20B triage)</t>
  </si>
  <si>
    <t>Chosen mix, but no F1 gate (every source goes to F2 extraction)</t>
  </si>
  <si>
    <t>Previous plan: Claude Haiku 4.5 + Sonnet 5.5 with caching and batch ('Inference' sheet)</t>
  </si>
  <si>
    <t>Why Groq and GPT-OSS: the live prototype already runs on them and passed the PRD evals on the dataset with the same grounding checks in code. They cost about an eighth of the Claude plan. Risks to watch: the 20B model skipped brief items in testing (moved to 120B), extraction read 'by Wednesday' a day early once (the two-business-day rule caught it), and Groq processes data in the US. The Claude path stays in the code as a fallback.</t>
  </si>
  <si>
    <t>Not used in the prototype or the updated MVP plan: deterministic linking (contact email, domain, lead_id, company name) plus the model linked 50 of 50 dataset sources correctly. Kept as an option if fuzzy matching degrades at 200+ accounts.</t>
  </si>
  <si>
    <t>Token/word</t>
  </si>
  <si>
    <t>Emails (per month)</t>
  </si>
  <si>
    <t>Meeting notes (per month)</t>
  </si>
  <si>
    <t>CRM accounts + ledger items</t>
  </si>
  <si>
    <t>Component</t>
  </si>
  <si>
    <t>Number of emails</t>
  </si>
  <si>
    <t>Number of meeting notes</t>
  </si>
  <si>
    <t>Accounts + new ledger items</t>
  </si>
  <si>
    <t>Number of words per email</t>
  </si>
  <si>
    <t>Number of words per note</t>
  </si>
  <si>
    <t>Number of words per record</t>
  </si>
  <si>
    <t>Total number of words</t>
  </si>
  <si>
    <t>Total Tokens</t>
  </si>
  <si>
    <t>Total tokens</t>
  </si>
  <si>
    <t>Corpus embeddings (voyage-4-lite)</t>
  </si>
  <si>
    <t>Cost/Quantity</t>
  </si>
  <si>
    <t>Total tokens embedded per month</t>
  </si>
  <si>
    <t>Cost per 1M token</t>
  </si>
  <si>
    <t>Total cost for corpus embeddings</t>
  </si>
  <si>
    <t>Lookup query embeddings</t>
  </si>
  <si>
    <t>Token per lookup query</t>
  </si>
  <si>
    <t>Total lookups per month</t>
  </si>
  <si>
    <t>Total tokens per month</t>
  </si>
  <si>
    <t>Total cost for lookup embeddings</t>
  </si>
  <si>
    <t>Total cost of Embeddings</t>
  </si>
  <si>
    <t>What embeddings are for: F1 shortlists candidate accounts for fuzzy names ('Meridian Health LLC' vs 'Meridian Healthcare') and flags likely duplicate records; F4 pulls the account's most relevant past messages into a draft. No RAG chatbot: the brief and drafts read the ledger directly. Stored in Supabase pgvector (no extra cost).</t>
  </si>
  <si>
    <t>Price: voyage-4-lite $0.02 per 1M tokens, with the first 200M tokens free (docs.voyageai.com/docs/pricing, checked 3 Oct 2026). At well under 1M tokens a month the free allowance covers this for years, so the billed cost is $0; the list-price cost is shown. Embeddings are optional: trigram string matching alone could replace them.</t>
  </si>
  <si>
    <t>Infrastructure: prototype (Step 5) vs production MVP, $ per month</t>
  </si>
  <si>
    <t>Service</t>
  </si>
  <si>
    <t>Prototype on dataset</t>
  </si>
  <si>
    <t>Production MVP (4 sellers)</t>
  </si>
  <si>
    <t>Why / source (checked 4 Oct 2026)</t>
  </si>
  <si>
    <t>Vercel (Next.js app, API routes, cron for nightly brief)</t>
  </si>
  <si>
    <t>Prototype is live on Vercel Hobby ($0) at atliq-sales-and-crm-assistant.vercel.app. Hobby is for personal, non-commercial use, so running it for AtliQ's sales team moves to Pro: $20 a month, 1 developer seat, $20 of included usage credit, free viewer seats. vercel.com/pricing</t>
  </si>
  <si>
    <t>Supabase (Postgres for ledger, approvals, audit log)</t>
  </si>
  <si>
    <t>Not used in the prototype: it has no database. Seller decisions and the audit log live in the browser, and approved CRM changes export as a CSV change file. Production needs shared, durable storage for the 12-month audit log, so Supabase Pro at $25 a month stays in the plan. supabase.com/pricing</t>
  </si>
  <si>
    <t>Mailbox read access (Google Workspace / Microsoft 365 API)</t>
  </si>
  <si>
    <t>Uses AtliQ's existing workspace licences with a read-only scope; no send permission (PRD guardrail).</t>
  </si>
  <si>
    <t>Groq API account (GPT-OSS models, Whisper)</t>
  </si>
  <si>
    <t>Pay as you go per token, no platform fee. Zero data retention switched on in Groq's Data Controls. Usage on the 'Inference (Groq)' sheet.</t>
  </si>
  <si>
    <t>Voyage AI account (embeddings)</t>
  </si>
  <si>
    <t>Not needed: no embeddings in the current plan (see 'Embeddings').</t>
  </si>
  <si>
    <t>Total infrastructure</t>
  </si>
  <si>
    <t>Fixed cost: it does not grow with sellers until the Supabase or Vercel limits are reached (well beyond 10 sellers).</t>
  </si>
  <si>
    <t>Doing the capture by hand: sales coordinator effort</t>
  </si>
  <si>
    <t>Sources (client emails + notes) to capture per day</t>
  </si>
  <si>
    <t>Sources one coordinator can read, log and follow up per day</t>
  </si>
  <si>
    <t>About 5 minutes per source: read, find the account, log asks and promises, set a follow-up date. Assumption.</t>
  </si>
  <si>
    <t>Sources handled per coordinator per month</t>
  </si>
  <si>
    <t>Total sources per month</t>
  </si>
  <si>
    <t>Number of coordinators (FTE) required</t>
  </si>
  <si>
    <t>Total monthly cost of a sales coordinator</t>
  </si>
  <si>
    <t>Salary (sales coordinator, India)</t>
  </si>
  <si>
    <t>Assumption: about Rs 38,000 a month for a junior sales coordinator in India (AtliQ's market).</t>
  </si>
  <si>
    <t>Admin cost (laptop, software, overhead)</t>
  </si>
  <si>
    <t>Total cost per coordinator per month</t>
  </si>
  <si>
    <t>Total cost of manual capture per month</t>
  </si>
  <si>
    <t>This is what the CRM 'update same-day' rule silently asks of the sellers today, and it failed twice (April and July).</t>
  </si>
  <si>
    <t>Cost for AtliQ Sales and CRM Assistant (MVP)</t>
  </si>
  <si>
    <t>Inference cost (incl. 25% buffer)</t>
  </si>
  <si>
    <t>Embeddings cost</t>
  </si>
  <si>
    <t>Infrastructure (Vercel Pro + Supabase Pro)</t>
  </si>
  <si>
    <t>Total AtliQ Sales and CRM Assistant</t>
  </si>
  <si>
    <t>Cost per seller per month</t>
  </si>
  <si>
    <t>Total Savings</t>
  </si>
  <si>
    <t>Running cost is a small fraction of one coordinator, even before counting seller time.</t>
  </si>
  <si>
    <t>% Savings</t>
  </si>
  <si>
    <t>Value not counted above</t>
  </si>
  <si>
    <t>Jay's reconciliation before each pipeline review</t>
  </si>
  <si>
    <t>About 2 hours today, target 15 minutes or less (PRD Section 12).</t>
  </si>
  <si>
    <t>Seller time</t>
  </si>
  <si>
    <t>Four sellers stop re-reading threads and typing into the CRM; the brief takes 5 minutes a morning.</t>
  </si>
  <si>
    <t>Pipeline protected</t>
  </si>
  <si>
    <t>$442.5k of valued pipeline across 8 deals sits behind a missed or at-risk AtliQ action (PRD, 10 Jul 2026). Saving one Kaveri-sized $15k deal pays for more than a year of running cost.</t>
  </si>
  <si>
    <t>Sources and assumptions</t>
  </si>
  <si>
    <t>Price used</t>
  </si>
  <si>
    <t>Value (checked 3 Oct 2026)</t>
  </si>
  <si>
    <t>Source</t>
  </si>
  <si>
    <t>Claude Haiku 4.5 (comparison)</t>
  </si>
  <si>
    <t>$1 input / $5 output per 1M tokens; cache read $0.10; batch $0.50 / $2.50; min cacheable prefix 4,096 tokens</t>
  </si>
  <si>
    <t>https://platform.claude.com/docs/en/about-claude/pricing</t>
  </si>
  <si>
    <t>Claude Sonnet 5.5 (comparison)</t>
  </si>
  <si>
    <t>$2 input / $10 output per 1M tokens; cache read $0.20; batch $1 / $5; min cacheable prefix 512 tokens</t>
  </si>
  <si>
    <t>Claude Opus 5.5 (comparison)</t>
  </si>
  <si>
    <t>$4 input / $20 output per 1M tokens; cache read $0.20 (0.05x); batch $2 / $10</t>
  </si>
  <si>
    <t>Prompt caching multipliers</t>
  </si>
  <si>
    <t>5-minute write 1.25x, 1-hour write 2x, read 0.1x base input (0.05x on Opus 5.5)</t>
  </si>
  <si>
    <t>https://platform.claude.com/docs/en/about-claude/pricing#prompt-caching</t>
  </si>
  <si>
    <t>Minimum cacheable prompt length</t>
  </si>
  <si>
    <t>512 tokens for Sonnet 5.5 and Opus 5.5; 4,096 tokens for Haiku 4.5</t>
  </si>
  <si>
    <t>https://platform.claude.com/docs/en/build-with-claude/prompt-caching</t>
  </si>
  <si>
    <t>Tokenizer note</t>
  </si>
  <si>
    <t>Claude 4.7 and later models produce about 30% more tokens for the same text</t>
  </si>
  <si>
    <t>Voyage voyage-4-lite embeddings (not used)</t>
  </si>
  <si>
    <t>$0.02 per 1M tokens; first 200M tokens free</t>
  </si>
  <si>
    <t>https://docs.voyageai.com/docs/pricing</t>
  </si>
  <si>
    <t>OpenAI gpt-4o-mini-transcribe (replaced by Groq Whisper)</t>
  </si>
  <si>
    <t>Estimated $0.003 per minute (whisper-1 and gpt-4o-transcribe $0.006)</t>
  </si>
  <si>
    <t>https://developers.openai.com/api/docs/pricing</t>
  </si>
  <si>
    <t>Vercel</t>
  </si>
  <si>
    <t>See the 4 Oct 2026 row below</t>
  </si>
  <si>
    <t>https://vercel.com/pricing</t>
  </si>
  <si>
    <t>Supabase</t>
  </si>
  <si>
    <t>Free $0 (pauses after 1 week inactive); Pro from $25 per month</t>
  </si>
  <si>
    <t>https://supabase.com/pricing</t>
  </si>
  <si>
    <t>Key assumptions</t>
  </si>
  <si>
    <t>Provider</t>
  </si>
  <si>
    <t>Groq for all text tasks (gpt-oss-20b and gpt-oss-120b), matching the live prototype. Zero data retention enabled in Groq's Data Controls; Groq does not use inference data for training. The Claude API remains a coded fallback and the comparison on the 'Inference' sheet.</t>
  </si>
  <si>
    <t>Data residency</t>
  </si>
  <si>
    <t>Groq retains any customer data it keeps in Google Cloud in the United States, and zero data retention disables batch. Clients like FinEdge want in-country processing, so data residency is an open question for Pranav before beta (PRD section 16).</t>
  </si>
  <si>
    <t>Volumes</t>
  </si>
  <si>
    <t>PRD NFR sizing: about 1,500 client emails and 150 meeting notes a month for 4 sellers and 200 accounts. Derivation on the 'Volume Sizing' sheet.</t>
  </si>
  <si>
    <t>Token sizes</t>
  </si>
  <si>
    <t>Measured from the dataset (avg 134 words per email, 99 per note), raised to 150 and 120. GPT-OSS: 1.3 tokens per word; Claude comparison: 1.69. Prompt sizes are estimates; reasoning-token allowances are assumptions. Replace both with measured usage from the prototype logs.</t>
  </si>
  <si>
    <t>Workdays</t>
  </si>
  <si>
    <t>22 per month; ingestion runs whenever mail arrives, the brief only on workdays.</t>
  </si>
  <si>
    <t>Exchange rate</t>
  </si>
  <si>
    <t>Not needed: every price is in USD. The coordinator salary on 'Cost Savings' is an assumption in USD.</t>
  </si>
  <si>
    <t>What is not costed</t>
  </si>
  <si>
    <t>Engineering time to build and maintain, CRM vendor fees (already paid), and the sellers' own Google or Microsoft licences.</t>
  </si>
  <si>
    <t>Prices added 4 Oct 2026 (chosen stack)</t>
  </si>
  <si>
    <t>Groq gpt-oss-20b</t>
  </si>
  <si>
    <t>$0.075 input / $0.0375 cached input / $0.30 output per 1M tokens</t>
  </si>
  <si>
    <t>https://console.groq.com/docs/model/openai/gpt-oss-20b</t>
  </si>
  <si>
    <t>Groq gpt-oss-120b</t>
  </si>
  <si>
    <t>$0.15 input / $0.075 cached input / $0.60 output per 1M tokens</t>
  </si>
  <si>
    <t>https://console.groq.com/docs/model/openai/gpt-oss-120b</t>
  </si>
  <si>
    <t>Groq prompt caching</t>
  </si>
  <si>
    <t>Automatic on GPT-OSS models, no extra fee, 50% off cached input, expires after 2 hours unused</t>
  </si>
  <si>
    <t>https://console.groq.com/docs/prompt-caching</t>
  </si>
  <si>
    <t>Groq Batch API</t>
  </si>
  <si>
    <t>50% off, 24-hour to 7-day window; does not stack with caching; disabled under zero data retention</t>
  </si>
  <si>
    <t>https://console.groq.com/docs/batch</t>
  </si>
  <si>
    <t>Groq data handling</t>
  </si>
  <si>
    <t>Inference data not retained by default; up to 30 days for abuse monitoring unless ZDR is on; stored in the US</t>
  </si>
  <si>
    <t>https://console.groq.com/docs/your-data</t>
  </si>
  <si>
    <t>Groq whisper-large-v3-turbo</t>
  </si>
  <si>
    <t>$0.04 per audio hour (minimum 10 seconds per request)</t>
  </si>
  <si>
    <t>https://console.groq.com/docs/model/whisper-large-v3-turbo</t>
  </si>
  <si>
    <t>Hobby $0 (non-commercial); Pro $20 per month with $20 included usage credit and 1 developer seat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</si>
</sst>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409]#,##0.00"/>
    <numFmt numFmtId="165" formatCode="[$$-409]#,##0.0000"/>
    <numFmt numFmtId="166" formatCode="#,##0.##"/>
    <numFmt numFmtId="167" formatCode="#,##0.0#"/>
    <numFmt numFmtId="168" formatCode="\$0.0000"/>
    <numFmt numFmtId="169" formatCode="\$0.00"/>
    <numFmt numFmtId="170" formatCode="\$0.000000"/>
    <numFmt numFmtId="171" formatCode="_(&quot;₹&quot;* #,##0.00_);_(&quot;₹&quot;* \(#,##0.00\);_(&quot;₹&quot;* &quot;-&quot;??_);_(@_)"/>
  </numFmts>
  <fonts count="14" x14ac:knownFonts="1">
    <font>
      <sz val="14"/>
      <color theme="1"/>
      <name val="Calibri"/>
      <family val="2"/>
      <scheme val="minor"/>
    </font>
    <font>
      <b/>
      <sz val="14"/>
      <color theme="1"/>
      <name val="Calibri"/>
      <family val="2"/>
      <scheme val="minor"/>
    </font>
    <font>
      <b/>
      <sz val="14"/>
      <color theme="0"/>
      <name val="Calibri"/>
      <family val="2"/>
      <scheme val="minor"/>
    </font>
    <font>
      <b/>
      <sz val="18"/>
      <color theme="1"/>
      <name val="Calibri"/>
      <family val="2"/>
      <scheme val="minor"/>
    </font>
    <font>
      <sz val="14"/>
      <color theme="1"/>
      <name val="Calibri"/>
      <family val="2"/>
      <scheme val="minor"/>
    </font>
    <font>
      <b/>
      <sz val="14"/>
      <name val="Calibri"/>
    </font>
    <font>
      <i/>
      <sz val="14"/>
      <color rgb="FF595959"/>
      <name val="Calibri"/>
    </font>
    <font>
      <b/>
      <sz val="14"/>
      <color rgb="FFFFFFFF"/>
      <name val="Calibri"/>
    </font>
    <font>
      <b/>
      <sz val="14"/>
      <name val="Calibri"/>
    </font>
    <font>
      <b/>
      <sz val="12"/>
      <name val="Calibri"/>
    </font>
    <font>
      <b/>
      <sz val="15"/>
      <name val="Calibri"/>
    </font>
    <font>
      <sz val="14"/>
      <color rgb="FF595959"/>
      <name val="Calibri"/>
    </font>
    <font>
      <sz val="14"/>
      <name val="Calibri"/>
    </font>
    <font>
      <b/>
      <sz val="14"/>
      <color rgb="FFC00000"/>
      <name val="Calibri"/>
    </font>
  </fonts>
  <fills count="9">
    <fill>
      <patternFill patternType="none"/>
    </fill>
    <fill>
      <patternFill patternType="gray125"/>
    </fill>
    <fill>
      <patternFill patternType="solid">
        <fgColor theme="4" tint="0.59999389629810485"/>
        <bgColor indexed="64"/>
      </patternFill>
    </fill>
    <fill>
      <patternFill patternType="solid">
        <fgColor theme="4"/>
        <bgColor theme="4"/>
      </patternFill>
    </fill>
    <fill>
      <patternFill patternType="solid">
        <fgColor theme="4" tint="-0.249977111117893"/>
        <bgColor indexed="64"/>
      </patternFill>
    </fill>
    <fill>
      <patternFill patternType="solid">
        <fgColor rgb="FF1F4E78"/>
      </patternFill>
    </fill>
    <fill>
      <patternFill patternType="solid">
        <fgColor rgb="FFFFF2CC"/>
      </patternFill>
    </fill>
    <fill>
      <patternFill patternType="solid">
        <fgColor rgb="FFDDEBF7"/>
      </patternFill>
    </fill>
    <fill>
      <patternFill patternType="solid">
        <fgColor rgb="FFE2EFDA"/>
      </patternFill>
    </fill>
  </fills>
  <borders count="32">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theme="4"/>
      </top>
      <bottom/>
      <diagonal/>
    </border>
    <border>
      <left/>
      <right style="medium">
        <color indexed="64"/>
      </right>
      <top style="thin">
        <color theme="4"/>
      </top>
      <bottom/>
      <diagonal/>
    </border>
    <border>
      <left style="medium">
        <color indexed="64"/>
      </left>
      <right/>
      <top style="thin">
        <color theme="4"/>
      </top>
      <bottom style="medium">
        <color indexed="64"/>
      </bottom>
      <diagonal/>
    </border>
    <border>
      <left style="thin">
        <color theme="4"/>
      </left>
      <right style="medium">
        <color indexed="64"/>
      </right>
      <top style="thin">
        <color theme="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theme="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3">
    <xf numFmtId="0" fontId="0" fillId="0" borderId="0"/>
    <xf numFmtId="171" fontId="4" fillId="0" borderId="0"/>
    <xf numFmtId="9" fontId="4" fillId="0" borderId="0"/>
  </cellStyleXfs>
  <cellXfs count="133">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1" fillId="2" borderId="5" xfId="0" applyFont="1" applyFill="1" applyBorder="1" applyAlignment="1">
      <alignment horizontal="center" vertical="center"/>
    </xf>
    <xf numFmtId="0" fontId="0" fillId="0" borderId="3" xfId="0" applyBorder="1" applyAlignment="1">
      <alignment horizontal="center"/>
    </xf>
    <xf numFmtId="0" fontId="0" fillId="0" borderId="4" xfId="0" applyBorder="1" applyAlignment="1">
      <alignment horizontal="center"/>
    </xf>
    <xf numFmtId="0" fontId="0" fillId="0" borderId="3" xfId="0" applyBorder="1"/>
    <xf numFmtId="0" fontId="0" fillId="0" borderId="3" xfId="0" applyBorder="1" applyAlignment="1">
      <alignment wrapText="1"/>
    </xf>
    <xf numFmtId="0" fontId="1" fillId="2" borderId="9" xfId="0" applyFont="1" applyFill="1"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 fillId="2" borderId="9" xfId="0" applyFont="1" applyFill="1" applyBorder="1" applyAlignment="1">
      <alignment vertical="center"/>
    </xf>
    <xf numFmtId="0" fontId="2" fillId="3" borderId="12"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4" xfId="0" applyFont="1" applyFill="1" applyBorder="1" applyAlignment="1">
      <alignment horizontal="center" vertical="center"/>
    </xf>
    <xf numFmtId="0" fontId="0" fillId="0" borderId="16" xfId="0" applyBorder="1" applyAlignment="1">
      <alignment horizontal="center" vertical="center"/>
    </xf>
    <xf numFmtId="0" fontId="1" fillId="2" borderId="16" xfId="0" applyFont="1" applyFill="1" applyBorder="1" applyAlignment="1">
      <alignment horizontal="center" vertical="center"/>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20" xfId="0" applyBorder="1"/>
    <xf numFmtId="0" fontId="0" fillId="0" borderId="1" xfId="0" applyBorder="1"/>
    <xf numFmtId="0" fontId="0" fillId="0" borderId="22" xfId="0" applyBorder="1"/>
    <xf numFmtId="0" fontId="0" fillId="0" borderId="23" xfId="0" applyBorder="1"/>
    <xf numFmtId="0" fontId="2" fillId="4" borderId="1" xfId="0" applyFont="1" applyFill="1" applyBorder="1" applyAlignment="1">
      <alignment horizontal="center" vertical="center"/>
    </xf>
    <xf numFmtId="9" fontId="2" fillId="4" borderId="1" xfId="2" applyFont="1" applyFill="1" applyBorder="1" applyAlignment="1">
      <alignment horizontal="center" vertical="center"/>
    </xf>
    <xf numFmtId="0" fontId="0" fillId="0" borderId="19" xfId="0" applyBorder="1" applyAlignment="1">
      <alignment horizontal="center" vertical="center"/>
    </xf>
    <xf numFmtId="0" fontId="0" fillId="0" borderId="22" xfId="0" applyBorder="1" applyAlignment="1">
      <alignment horizontal="center" vertical="center"/>
    </xf>
    <xf numFmtId="0" fontId="10" fillId="0" borderId="0" xfId="0" applyFont="1"/>
    <xf numFmtId="0" fontId="7" fillId="5" borderId="28" xfId="0" applyFont="1" applyFill="1" applyBorder="1" applyAlignment="1">
      <alignment vertical="center" wrapText="1"/>
    </xf>
    <xf numFmtId="3" fontId="0" fillId="0" borderId="28" xfId="0" applyNumberFormat="1" applyBorder="1" applyAlignment="1">
      <alignment vertical="top" wrapText="1"/>
    </xf>
    <xf numFmtId="164" fontId="0" fillId="0" borderId="28" xfId="0" applyNumberFormat="1" applyBorder="1" applyAlignment="1">
      <alignment vertical="top" wrapText="1"/>
    </xf>
    <xf numFmtId="0" fontId="8" fillId="7" borderId="28" xfId="0" applyFont="1" applyFill="1" applyBorder="1" applyAlignment="1">
      <alignment vertical="top" wrapText="1"/>
    </xf>
    <xf numFmtId="0" fontId="0" fillId="7" borderId="28" xfId="0" applyFill="1" applyBorder="1" applyAlignment="1">
      <alignment vertical="top" wrapText="1"/>
    </xf>
    <xf numFmtId="3" fontId="8" fillId="7" borderId="28" xfId="0" applyNumberFormat="1" applyFont="1" applyFill="1" applyBorder="1" applyAlignment="1">
      <alignment vertical="top" wrapText="1"/>
    </xf>
    <xf numFmtId="164" fontId="8" fillId="7" borderId="28" xfId="0" applyNumberFormat="1" applyFont="1" applyFill="1" applyBorder="1" applyAlignment="1">
      <alignment vertical="top" wrapText="1"/>
    </xf>
    <xf numFmtId="0" fontId="8" fillId="6" borderId="28" xfId="0" applyFont="1" applyFill="1" applyBorder="1" applyAlignment="1">
      <alignment vertical="top" wrapText="1"/>
    </xf>
    <xf numFmtId="0" fontId="0" fillId="6" borderId="28" xfId="0" applyFill="1" applyBorder="1" applyAlignment="1">
      <alignment vertical="top" wrapText="1"/>
    </xf>
    <xf numFmtId="164" fontId="8" fillId="6" borderId="28" xfId="0" applyNumberFormat="1" applyFont="1" applyFill="1" applyBorder="1" applyAlignment="1">
      <alignment vertical="top" wrapText="1"/>
    </xf>
    <xf numFmtId="0" fontId="8" fillId="0" borderId="28" xfId="0" applyFont="1" applyBorder="1" applyAlignment="1">
      <alignment vertical="top" wrapText="1"/>
    </xf>
    <xf numFmtId="164" fontId="8" fillId="0" borderId="28" xfId="0" applyNumberFormat="1" applyFont="1" applyBorder="1" applyAlignment="1">
      <alignment vertical="top" wrapText="1"/>
    </xf>
    <xf numFmtId="0" fontId="9" fillId="0" borderId="0" xfId="0" applyFont="1"/>
    <xf numFmtId="0" fontId="5" fillId="0" borderId="0" xfId="0" applyFont="1"/>
    <xf numFmtId="0" fontId="6" fillId="0" borderId="0" xfId="0" applyFont="1"/>
    <xf numFmtId="3" fontId="8" fillId="0" borderId="28" xfId="0" applyNumberFormat="1" applyFont="1" applyBorder="1" applyAlignment="1">
      <alignment vertical="top" wrapText="1"/>
    </xf>
    <xf numFmtId="9" fontId="0" fillId="6" borderId="28" xfId="0" applyNumberFormat="1" applyFill="1" applyBorder="1" applyAlignment="1">
      <alignment vertical="top" wrapText="1"/>
    </xf>
    <xf numFmtId="0" fontId="0" fillId="0" borderId="17" xfId="0" applyBorder="1" applyAlignment="1">
      <alignment vertical="center" wrapText="1"/>
    </xf>
    <xf numFmtId="0" fontId="0" fillId="0" borderId="18" xfId="0" applyBorder="1" applyAlignment="1">
      <alignment vertical="center" wrapText="1"/>
    </xf>
    <xf numFmtId="0" fontId="0" fillId="0" borderId="19" xfId="0" applyBorder="1" applyAlignment="1">
      <alignment vertical="center" wrapText="1"/>
    </xf>
    <xf numFmtId="0" fontId="8" fillId="0" borderId="16" xfId="0" applyFont="1" applyBorder="1" applyAlignment="1">
      <alignment vertical="center" wrapText="1"/>
    </xf>
    <xf numFmtId="0" fontId="0" fillId="0" borderId="16" xfId="0" applyBorder="1" applyAlignment="1">
      <alignment vertical="top" wrapText="1"/>
    </xf>
    <xf numFmtId="3" fontId="0" fillId="0" borderId="11" xfId="0" applyNumberFormat="1" applyBorder="1" applyAlignment="1">
      <alignment horizontal="center" vertical="center"/>
    </xf>
    <xf numFmtId="164" fontId="0" fillId="0" borderId="21" xfId="0" applyNumberFormat="1" applyBorder="1" applyAlignment="1">
      <alignment horizontal="center" vertical="center"/>
    </xf>
    <xf numFmtId="0" fontId="8" fillId="6" borderId="20" xfId="0" applyFont="1" applyFill="1" applyBorder="1" applyAlignment="1">
      <alignment horizontal="center" vertical="center"/>
    </xf>
    <xf numFmtId="0" fontId="8" fillId="6" borderId="1" xfId="0" applyFont="1" applyFill="1" applyBorder="1" applyAlignment="1">
      <alignment horizontal="center" vertical="center"/>
    </xf>
    <xf numFmtId="164" fontId="8" fillId="6" borderId="21" xfId="0" applyNumberFormat="1" applyFont="1" applyFill="1" applyBorder="1" applyAlignment="1">
      <alignment horizontal="center" vertical="center"/>
    </xf>
    <xf numFmtId="164" fontId="0" fillId="0" borderId="21" xfId="0" applyNumberFormat="1" applyBorder="1"/>
    <xf numFmtId="164" fontId="1" fillId="2" borderId="16" xfId="0" applyNumberFormat="1" applyFont="1" applyFill="1" applyBorder="1" applyAlignment="1">
      <alignment horizontal="center" vertical="center"/>
    </xf>
    <xf numFmtId="0" fontId="1" fillId="2" borderId="16" xfId="0" applyFont="1" applyFill="1" applyBorder="1" applyAlignment="1">
      <alignment vertical="top" wrapText="1"/>
    </xf>
    <xf numFmtId="0" fontId="8" fillId="0" borderId="22" xfId="0" applyFont="1" applyBorder="1"/>
    <xf numFmtId="164" fontId="0" fillId="0" borderId="24" xfId="0" applyNumberFormat="1" applyBorder="1"/>
    <xf numFmtId="9" fontId="0" fillId="0" borderId="11" xfId="0" applyNumberFormat="1" applyBorder="1" applyAlignment="1">
      <alignment horizontal="center" vertical="center"/>
    </xf>
    <xf numFmtId="0" fontId="8" fillId="0" borderId="16" xfId="0" applyFont="1" applyBorder="1" applyAlignment="1">
      <alignment horizontal="center" vertical="center"/>
    </xf>
    <xf numFmtId="0" fontId="8" fillId="0" borderId="0" xfId="0" applyFont="1"/>
    <xf numFmtId="164" fontId="0" fillId="0" borderId="11" xfId="0" applyNumberFormat="1" applyBorder="1" applyAlignment="1">
      <alignment horizontal="center" vertical="center"/>
    </xf>
    <xf numFmtId="164" fontId="1" fillId="2" borderId="11" xfId="0" applyNumberFormat="1" applyFont="1" applyFill="1" applyBorder="1" applyAlignment="1">
      <alignment horizontal="center" vertical="center"/>
    </xf>
    <xf numFmtId="3" fontId="0" fillId="0" borderId="4" xfId="0" applyNumberFormat="1" applyBorder="1" applyAlignment="1">
      <alignment horizontal="center" vertical="center"/>
    </xf>
    <xf numFmtId="3" fontId="0" fillId="0" borderId="4" xfId="0" applyNumberFormat="1" applyBorder="1" applyAlignment="1">
      <alignment horizontal="center"/>
    </xf>
    <xf numFmtId="3" fontId="1" fillId="2" borderId="6" xfId="0" applyNumberFormat="1" applyFont="1" applyFill="1" applyBorder="1" applyAlignment="1">
      <alignment horizontal="center" vertical="center"/>
    </xf>
    <xf numFmtId="3" fontId="0" fillId="0" borderId="0" xfId="0" applyNumberFormat="1" applyAlignment="1">
      <alignment horizontal="center" vertical="center"/>
    </xf>
    <xf numFmtId="2" fontId="0" fillId="0" borderId="0" xfId="0" applyNumberFormat="1" applyAlignment="1">
      <alignment horizontal="center" vertical="center"/>
    </xf>
    <xf numFmtId="164" fontId="0" fillId="0" borderId="21" xfId="1" applyNumberFormat="1" applyFont="1" applyBorder="1" applyAlignment="1">
      <alignment horizontal="center" vertical="center"/>
    </xf>
    <xf numFmtId="164" fontId="0" fillId="0" borderId="24" xfId="0" applyNumberFormat="1" applyBorder="1" applyAlignment="1">
      <alignment horizontal="center" vertical="center"/>
    </xf>
    <xf numFmtId="164" fontId="2" fillId="4" borderId="0" xfId="0" applyNumberFormat="1" applyFont="1" applyFill="1" applyAlignment="1">
      <alignment horizontal="center" vertical="center"/>
    </xf>
    <xf numFmtId="164" fontId="2" fillId="4" borderId="1" xfId="0" applyNumberFormat="1" applyFont="1" applyFill="1" applyBorder="1" applyAlignment="1">
      <alignment horizontal="center" vertical="center"/>
    </xf>
    <xf numFmtId="0" fontId="12" fillId="0" borderId="0" xfId="0" applyFont="1" applyAlignment="1">
      <alignment vertical="top" wrapText="1"/>
    </xf>
    <xf numFmtId="165" fontId="0" fillId="0" borderId="28" xfId="0" applyNumberFormat="1" applyBorder="1" applyAlignment="1">
      <alignment vertical="top" wrapText="1"/>
    </xf>
    <xf numFmtId="166" fontId="0" fillId="0" borderId="28" xfId="0" applyNumberFormat="1" applyBorder="1" applyAlignment="1">
      <alignment vertical="top" wrapText="1"/>
    </xf>
    <xf numFmtId="166" fontId="0" fillId="6" borderId="28" xfId="0" applyNumberFormat="1" applyFill="1" applyBorder="1" applyAlignment="1">
      <alignment vertical="top" wrapText="1"/>
    </xf>
    <xf numFmtId="167" fontId="0" fillId="0" borderId="28" xfId="0" applyNumberFormat="1" applyBorder="1" applyAlignment="1">
      <alignment vertical="top" wrapText="1"/>
    </xf>
    <xf numFmtId="165" fontId="0" fillId="0" borderId="1" xfId="0" applyNumberFormat="1" applyBorder="1" applyAlignment="1">
      <alignment horizontal="center" vertical="center"/>
    </xf>
    <xf numFmtId="165" fontId="8" fillId="6" borderId="1" xfId="0" applyNumberFormat="1" applyFont="1" applyFill="1" applyBorder="1" applyAlignment="1">
      <alignment horizontal="center" vertical="center"/>
    </xf>
    <xf numFmtId="166" fontId="1" fillId="2" borderId="11" xfId="0" applyNumberFormat="1" applyFont="1" applyFill="1" applyBorder="1" applyAlignment="1">
      <alignment horizontal="center" vertical="center"/>
    </xf>
    <xf numFmtId="165" fontId="0" fillId="0" borderId="23" xfId="0" applyNumberFormat="1" applyBorder="1"/>
    <xf numFmtId="166" fontId="0" fillId="0" borderId="11" xfId="0" applyNumberFormat="1" applyBorder="1" applyAlignment="1">
      <alignment horizontal="center" vertical="center"/>
    </xf>
    <xf numFmtId="165" fontId="0" fillId="0" borderId="0" xfId="0" applyNumberFormat="1"/>
    <xf numFmtId="165" fontId="0" fillId="0" borderId="11" xfId="0" applyNumberFormat="1" applyBorder="1" applyAlignment="1">
      <alignment horizontal="center" vertical="center"/>
    </xf>
    <xf numFmtId="0" fontId="10" fillId="0" borderId="0" xfId="0" applyFont="1" applyAlignment="1">
      <alignment vertical="top"/>
    </xf>
    <xf numFmtId="0" fontId="7" fillId="5" borderId="0" xfId="0" applyFont="1" applyFill="1" applyAlignment="1">
      <alignment vertical="top" wrapText="1"/>
    </xf>
    <xf numFmtId="0" fontId="8" fillId="0" borderId="0" xfId="0" applyFont="1" applyAlignment="1">
      <alignment vertical="top" wrapText="1"/>
    </xf>
    <xf numFmtId="2" fontId="12" fillId="6" borderId="0" xfId="0" applyNumberFormat="1" applyFont="1" applyFill="1" applyAlignment="1">
      <alignment vertical="top" wrapText="1"/>
    </xf>
    <xf numFmtId="1" fontId="12" fillId="0" borderId="0" xfId="0" applyNumberFormat="1" applyFont="1" applyAlignment="1">
      <alignment vertical="top" wrapText="1"/>
    </xf>
    <xf numFmtId="0" fontId="8" fillId="8" borderId="31" xfId="0" applyFont="1" applyFill="1" applyBorder="1" applyAlignment="1">
      <alignment vertical="top" wrapText="1"/>
    </xf>
    <xf numFmtId="0" fontId="12" fillId="0" borderId="31" xfId="0" applyFont="1" applyBorder="1" applyAlignment="1">
      <alignment vertical="top" wrapText="1"/>
    </xf>
    <xf numFmtId="3" fontId="12" fillId="0" borderId="31" xfId="0" applyNumberFormat="1" applyFont="1" applyBorder="1" applyAlignment="1">
      <alignment vertical="top" wrapText="1"/>
    </xf>
    <xf numFmtId="9" fontId="12" fillId="6" borderId="31" xfId="0" applyNumberFormat="1" applyFont="1" applyFill="1" applyBorder="1" applyAlignment="1">
      <alignment vertical="top" wrapText="1"/>
    </xf>
    <xf numFmtId="3" fontId="12" fillId="6" borderId="31" xfId="0" applyNumberFormat="1" applyFont="1" applyFill="1" applyBorder="1" applyAlignment="1">
      <alignment vertical="top" wrapText="1"/>
    </xf>
    <xf numFmtId="0" fontId="11" fillId="0" borderId="31" xfId="0" applyFont="1" applyBorder="1" applyAlignment="1">
      <alignment vertical="top" wrapText="1"/>
    </xf>
    <xf numFmtId="0" fontId="8" fillId="0" borderId="31" xfId="0" applyFont="1" applyBorder="1" applyAlignment="1">
      <alignment vertical="top" wrapText="1"/>
    </xf>
    <xf numFmtId="3" fontId="12" fillId="0" borderId="0" xfId="0" applyNumberFormat="1" applyFont="1" applyAlignment="1">
      <alignment vertical="top" wrapText="1"/>
    </xf>
    <xf numFmtId="0" fontId="13" fillId="0" borderId="0" xfId="0" applyFont="1"/>
    <xf numFmtId="165" fontId="1" fillId="2" borderId="10" xfId="0" applyNumberFormat="1" applyFont="1" applyFill="1" applyBorder="1" applyAlignment="1">
      <alignment horizontal="center" vertical="center"/>
    </xf>
    <xf numFmtId="165" fontId="2" fillId="3" borderId="13" xfId="0" applyNumberFormat="1" applyFont="1" applyFill="1" applyBorder="1" applyAlignment="1">
      <alignment horizontal="center" vertical="center"/>
    </xf>
    <xf numFmtId="0" fontId="0" fillId="0" borderId="0" xfId="0" applyAlignment="1">
      <alignment vertical="top" wrapText="1"/>
    </xf>
    <xf numFmtId="0" fontId="0" fillId="0" borderId="28" xfId="0" applyBorder="1" applyAlignment="1">
      <alignment vertical="top" wrapText="1"/>
    </xf>
    <xf numFmtId="168" fontId="12" fillId="0" borderId="0" xfId="0" applyNumberFormat="1" applyFont="1" applyAlignment="1">
      <alignment vertical="top" wrapText="1"/>
    </xf>
    <xf numFmtId="169" fontId="12" fillId="0" borderId="0" xfId="0" applyNumberFormat="1" applyFont="1" applyAlignment="1">
      <alignment vertical="top" wrapText="1"/>
    </xf>
    <xf numFmtId="170" fontId="12" fillId="0" borderId="31" xfId="0" applyNumberFormat="1" applyFont="1" applyBorder="1" applyAlignment="1">
      <alignment vertical="top" wrapText="1"/>
    </xf>
    <xf numFmtId="169" fontId="12" fillId="8" borderId="31" xfId="0" applyNumberFormat="1" applyFont="1" applyFill="1" applyBorder="1" applyAlignment="1">
      <alignment vertical="top" wrapText="1"/>
    </xf>
    <xf numFmtId="169" fontId="12" fillId="0" borderId="31" xfId="0" applyNumberFormat="1" applyFont="1" applyBorder="1" applyAlignment="1">
      <alignment vertical="top" wrapText="1"/>
    </xf>
    <xf numFmtId="169" fontId="8" fillId="0" borderId="0" xfId="0" applyNumberFormat="1" applyFont="1" applyAlignment="1">
      <alignment vertical="top" wrapText="1"/>
    </xf>
    <xf numFmtId="0" fontId="0" fillId="0" borderId="0" xfId="0"/>
    <xf numFmtId="0" fontId="11" fillId="0" borderId="0" xfId="0" applyFont="1" applyAlignment="1">
      <alignment vertical="top" wrapText="1"/>
    </xf>
    <xf numFmtId="0" fontId="2" fillId="4" borderId="0" xfId="0" applyFont="1" applyFill="1" applyAlignment="1">
      <alignment horizontal="center" vertical="center"/>
    </xf>
    <xf numFmtId="0" fontId="0" fillId="0" borderId="31" xfId="0" applyBorder="1" applyAlignment="1">
      <alignment vertical="top" wrapText="1"/>
    </xf>
    <xf numFmtId="0" fontId="0" fillId="0" borderId="29" xfId="0" applyBorder="1"/>
    <xf numFmtId="0" fontId="6" fillId="0" borderId="0" xfId="0" applyFont="1" applyAlignment="1">
      <alignment vertical="top" wrapText="1"/>
    </xf>
    <xf numFmtId="0" fontId="0" fillId="0" borderId="0" xfId="0"/>
    <xf numFmtId="0" fontId="0" fillId="0" borderId="30" xfId="0" applyBorder="1"/>
    <xf numFmtId="0" fontId="1" fillId="2" borderId="15" xfId="0" applyFont="1" applyFill="1" applyBorder="1" applyAlignment="1">
      <alignment horizontal="center" vertical="center"/>
    </xf>
    <xf numFmtId="0" fontId="0" fillId="0" borderId="25" xfId="0" applyBorder="1"/>
    <xf numFmtId="0" fontId="0" fillId="0" borderId="26" xfId="0" applyBorder="1"/>
    <xf numFmtId="0" fontId="1" fillId="2" borderId="15" xfId="0" applyFont="1" applyFill="1" applyBorder="1" applyAlignment="1">
      <alignment horizontal="center" vertical="center" wrapText="1"/>
    </xf>
    <xf numFmtId="0" fontId="11" fillId="0" borderId="0" xfId="0" applyFont="1" applyAlignment="1">
      <alignment vertical="top" wrapText="1"/>
    </xf>
    <xf numFmtId="0" fontId="1" fillId="2" borderId="27" xfId="0" applyFont="1" applyFill="1" applyBorder="1" applyAlignment="1">
      <alignment horizontal="center" vertical="center" wrapText="1"/>
    </xf>
    <xf numFmtId="0" fontId="0" fillId="0" borderId="2" xfId="0" applyBorder="1"/>
    <xf numFmtId="0" fontId="1" fillId="2" borderId="27" xfId="0" applyFont="1" applyFill="1" applyBorder="1" applyAlignment="1">
      <alignment horizontal="center" vertical="center"/>
    </xf>
    <xf numFmtId="0" fontId="2" fillId="4" borderId="0" xfId="0" applyFont="1" applyFill="1" applyAlignment="1">
      <alignment horizontal="center" vertical="center"/>
    </xf>
    <xf numFmtId="0" fontId="2" fillId="4" borderId="0" xfId="0" applyFont="1" applyFill="1" applyAlignment="1">
      <alignment horizontal="center" vertical="center" wrapText="1"/>
    </xf>
  </cellXfs>
  <cellStyles count="3">
    <cellStyle name="Currency" xfId="1" builtinId="4"/>
    <cellStyle name="Normal" xfId="0" builtinId="0"/>
    <cellStyle name="Percent" xfId="2" builtinId="5"/>
  </cellStyles>
  <dxfs count="47">
    <dxf>
      <numFmt numFmtId="172" formatCode="_([$$-409]* #,##0.00_);_([$$-409]* \(#,##0.00\);_([$$-409]* &quot;-&quot;??_);_(@_)"/>
      <border>
        <left style="thin">
          <color indexed="64"/>
        </left>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alignment horizontal="center" vertical="center"/>
      <border>
        <left style="thin">
          <color indexed="64"/>
        </left>
        <right style="thin">
          <color indexed="64"/>
        </right>
        <top/>
        <bottom/>
        <vertical style="thin">
          <color indexed="64"/>
        </vertical>
        <horizontal style="thin">
          <color indexed="64"/>
        </horizontal>
      </border>
    </dxf>
    <dxf>
      <alignment horizontal="center" vertical="center"/>
      <border>
        <left style="thin">
          <color indexed="64"/>
        </left>
        <right/>
        <top style="thin">
          <color indexed="64"/>
        </top>
        <bottom style="thin">
          <color indexed="64"/>
        </bottom>
        <vertical style="thin">
          <color indexed="64"/>
        </vertical>
        <horizontal style="thin">
          <color indexed="64"/>
        </horizontal>
      </border>
    </dxf>
    <dxf>
      <alignment horizontal="center" vertical="center"/>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alignment horizontal="center" vertical="center"/>
    </dxf>
    <dxf>
      <border>
        <bottom style="thin">
          <color indexed="64"/>
        </bottom>
      </border>
    </dxf>
    <dxf>
      <alignment horizontal="center" vertical="center"/>
      <border>
        <left style="thin">
          <color indexed="64"/>
        </left>
        <right style="thin">
          <color indexed="64"/>
        </right>
        <top/>
        <bottom/>
        <vertical style="thin">
          <color indexed="64"/>
        </vertical>
        <horizontal style="thin">
          <color indexed="64"/>
        </horizontal>
      </bord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ont>
        <b/>
        <strike val="0"/>
        <condense val="0"/>
        <extend val="0"/>
        <outline val="0"/>
        <shadow val="0"/>
        <vertAlign val="baseline"/>
        <sz val="14"/>
        <color theme="1"/>
        <name val="Calibri"/>
        <family val="2"/>
        <scheme val="minor"/>
      </font>
      <fill>
        <patternFill patternType="solid">
          <fgColor indexed="64"/>
          <bgColor theme="4" tint="-0.249977111117893"/>
        </patternFill>
      </fill>
      <alignment horizontal="center" vertical="center" wrapText="1"/>
    </dxf>
    <dxf>
      <border outline="0">
        <bottom style="thin">
          <color theme="4"/>
        </bottom>
      </border>
    </dxf>
    <dxf>
      <font>
        <b/>
        <strike val="0"/>
        <condense val="0"/>
        <extend val="0"/>
        <outline val="0"/>
        <shadow val="0"/>
        <vertAlign val="baseline"/>
        <sz val="14"/>
        <color theme="1"/>
        <name val="Calibri"/>
        <family val="2"/>
        <scheme val="minor"/>
      </font>
      <fill>
        <patternFill patternType="solid">
          <fgColor indexed="64"/>
          <bgColor theme="4" tint="-0.249977111117893"/>
        </patternFill>
      </fill>
      <alignment horizontal="center" vertical="center" wrapText="1"/>
    </dxf>
    <dxf>
      <alignment horizontal="center" vertical="center"/>
    </dxf>
    <dxf>
      <font>
        <b/>
        <strike val="0"/>
        <condense val="0"/>
        <extend val="0"/>
        <outline val="0"/>
        <shadow val="0"/>
        <vertAlign val="baseline"/>
        <sz val="14"/>
        <color theme="1"/>
        <name val="Calibri"/>
        <family val="2"/>
        <scheme val="minor"/>
      </font>
      <fill>
        <patternFill patternType="solid">
          <fgColor indexed="64"/>
          <bgColor theme="4" tint="-0.249977111117893"/>
        </patternFill>
      </fill>
      <alignment horizontal="center" vertical="center" wrapText="1"/>
    </dxf>
    <dxf>
      <alignment horizontal="center" vertical="bottom"/>
    </dxf>
    <dxf>
      <alignment horizontal="center" vertical="bottom"/>
    </dxf>
    <dxf>
      <alignment horizontal="center" vertical="bottom"/>
    </dxf>
    <dxf>
      <font>
        <b/>
        <strike val="0"/>
        <condense val="0"/>
        <extend val="0"/>
        <outline val="0"/>
        <shadow val="0"/>
        <vertAlign val="baseline"/>
        <sz val="14"/>
        <color theme="1"/>
        <name val="Calibri"/>
        <family val="2"/>
        <scheme val="minor"/>
      </font>
      <fill>
        <patternFill patternType="solid">
          <fgColor indexed="64"/>
          <bgColor theme="4" tint="-0.249977111117893"/>
        </patternFill>
      </fill>
      <alignment horizontal="center" vertical="center" wrapText="1"/>
    </dxf>
    <dxf>
      <alignment horizontal="center" vertical="center"/>
    </dxf>
    <dxf>
      <alignment horizontal="center" vertical="center"/>
    </dxf>
    <dxf>
      <alignment horizontal="center" vertical="center"/>
    </dxf>
    <dxf>
      <font>
        <b/>
        <strike val="0"/>
        <condense val="0"/>
        <extend val="0"/>
        <outline val="0"/>
        <shadow val="0"/>
        <vertAlign val="baseline"/>
        <sz val="14"/>
        <color theme="1"/>
        <name val="Calibri"/>
        <family val="2"/>
        <scheme val="minor"/>
      </font>
      <fill>
        <patternFill patternType="solid">
          <fgColor indexed="64"/>
          <bgColor theme="4" tint="-0.249977111117893"/>
        </patternFill>
      </fill>
      <alignment horizontal="center" vertical="center" wrapText="1"/>
    </dxf>
    <dxf>
      <numFmt numFmtId="164" formatCode="[$$-409]#,##0.00"/>
      <border>
        <left style="thin">
          <color indexed="64"/>
        </left>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medium">
          <color indexed="64"/>
        </left>
        <right style="medium">
          <color indexed="64"/>
        </right>
        <top style="medium">
          <color indexed="64"/>
        </top>
        <bottom style="medium">
          <color indexed="64"/>
        </bottom>
      </border>
    </dxf>
    <dxf>
      <border>
        <bottom style="thin">
          <color indexed="64"/>
        </bottom>
      </border>
    </dxf>
    <dxf>
      <alignment horizontal="center" vertical="center" wrapText="1"/>
      <border>
        <left style="thin">
          <color indexed="64"/>
        </left>
        <right style="thin">
          <color indexed="64"/>
        </right>
        <top/>
        <bottom/>
        <vertical style="thin">
          <color indexed="64"/>
        </vertical>
        <horizontal style="thin">
          <color indexed="64"/>
        </horizontal>
      </border>
    </dxf>
    <dxf>
      <alignment horizontal="center" vertical="center"/>
      <border>
        <left style="thin">
          <color indexed="64"/>
        </left>
        <right/>
        <top style="thin">
          <color indexed="64"/>
        </top>
        <bottom style="thin">
          <color indexed="64"/>
        </bottom>
        <vertical style="thin">
          <color indexed="64"/>
        </vertical>
        <horizontal style="thin">
          <color indexed="64"/>
        </horizontal>
      </border>
    </dxf>
    <dxf>
      <alignment horizontal="center" vertical="center"/>
      <border>
        <left/>
        <right style="thin">
          <color indexed="64"/>
        </right>
        <top style="thin">
          <color indexed="64"/>
        </top>
        <bottom style="thin">
          <color indexed="64"/>
        </bottom>
        <vertical style="thin">
          <color indexed="64"/>
        </vertical>
        <horizontal style="thin">
          <color indexed="64"/>
        </horizontal>
      </border>
    </dxf>
    <dxf>
      <alignment horizontal="center" vertical="center"/>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C16" totalsRowShown="0" headerRowDxfId="46">
  <autoFilter ref="B5:C16" xr:uid="{00000000-0009-0000-0100-000001000000}"/>
  <tableColumns count="2">
    <tableColumn id="1" xr3:uid="{00000000-0010-0000-0000-000001000000}" name="Description" dataDxfId="45"/>
    <tableColumn id="2" xr3:uid="{00000000-0010-0000-0000-000002000000}" name="Quantity" dataDxfId="4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E5:K11" totalsRowShown="0" headerRowDxfId="43" headerRowBorderDxfId="42" tableBorderDxfId="41" totalsRowBorderDxfId="40">
  <autoFilter ref="E5:K11" xr:uid="{00000000-0009-0000-0100-000002000000}"/>
  <tableColumns count="7">
    <tableColumn id="1" xr3:uid="{00000000-0010-0000-0100-000001000000}" name="Model Name" dataDxfId="39"/>
    <tableColumn id="2" xr3:uid="{00000000-0010-0000-0100-000002000000}" name="Input cost($) per 1M token" dataDxfId="38"/>
    <tableColumn id="3" xr3:uid="{00000000-0010-0000-0100-000003000000}" name="Output cost($) per 1M token" dataDxfId="37"/>
    <tableColumn id="4" xr3:uid="{00000000-0010-0000-0100-000004000000}" name="Cost per input Query($)" dataDxfId="36">
      <calculatedColumnFormula>F6*$C$11/1000000</calculatedColumnFormula>
    </tableColumn>
    <tableColumn id="5" xr3:uid="{00000000-0010-0000-0100-000005000000}" name="Cost per output query Query($)" dataDxfId="35">
      <calculatedColumnFormula>G6*$C$12/1000000</calculatedColumnFormula>
    </tableColumn>
    <tableColumn id="6" xr3:uid="{00000000-0010-0000-0100-000006000000}" name="Total Cost per query" dataDxfId="34">
      <calculatedColumnFormula>H6+I6</calculatedColumnFormula>
    </tableColumn>
    <tableColumn id="7" xr3:uid="{00000000-0010-0000-0100-000007000000}" name="Total cost per month" dataDxfId="33">
      <calculatedColumnFormula>Table2[[#This Row],[Total Cost per query]]*$C$16</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C6:D10" totalsRowShown="0" headerRowDxfId="32" dataDxfId="31">
  <autoFilter ref="C6:D10" xr:uid="{00000000-0009-0000-0100-000003000000}"/>
  <tableColumns count="2">
    <tableColumn id="1" xr3:uid="{00000000-0010-0000-0200-000001000000}" name="Component" dataDxfId="30"/>
    <tableColumn id="2" xr3:uid="{00000000-0010-0000-0200-000002000000}" name="Quantity" dataDxfId="29"/>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F6:G10" totalsRowShown="0" headerRowDxfId="28" dataDxfId="27">
  <autoFilter ref="F6:G10" xr:uid="{00000000-0009-0000-0100-000004000000}"/>
  <tableColumns count="2">
    <tableColumn id="1" xr3:uid="{00000000-0010-0000-0300-000001000000}" name="Component" dataDxfId="26"/>
    <tableColumn id="2" xr3:uid="{00000000-0010-0000-0300-000002000000}" name="Quantity" dataDxfId="25"/>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I6:J10" totalsRowShown="0" headerRowDxfId="24">
  <autoFilter ref="I6:J10" xr:uid="{00000000-0009-0000-0100-000005000000}"/>
  <tableColumns count="2">
    <tableColumn id="1" xr3:uid="{00000000-0010-0000-0400-000001000000}" name="Component"/>
    <tableColumn id="2" xr3:uid="{00000000-0010-0000-0400-000002000000}" name="Quantity" dataDxfId="23"/>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C14:D17" totalsRowShown="0" headerRowDxfId="22" tableBorderDxfId="21">
  <autoFilter ref="C14:D17" xr:uid="{00000000-0009-0000-0100-000006000000}"/>
  <tableColumns count="2">
    <tableColumn id="1" xr3:uid="{00000000-0010-0000-0500-000001000000}" name="Component"/>
    <tableColumn id="2" xr3:uid="{00000000-0010-0000-0500-000002000000}" name="Cost/Quantity"/>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C21:D26" totalsRowShown="0" headerRowDxfId="20" dataDxfId="19">
  <autoFilter ref="C21:D26" xr:uid="{00000000-0009-0000-0100-000007000000}"/>
  <tableColumns count="2">
    <tableColumn id="1" xr3:uid="{00000000-0010-0000-0600-000001000000}" name="Component" dataDxfId="18"/>
    <tableColumn id="2" xr3:uid="{00000000-0010-0000-0600-000002000000}" name="Cost/Quantity" dataDxfId="17"/>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D4:E10" totalsRowShown="0" headerRowDxfId="16" dataDxfId="15">
  <autoFilter ref="D4:E10" xr:uid="{00000000-0009-0000-0100-000008000000}"/>
  <tableColumns count="2">
    <tableColumn id="1" xr3:uid="{00000000-0010-0000-0700-000001000000}" name="Component" dataDxfId="14"/>
    <tableColumn id="2" xr3:uid="{00000000-0010-0000-0700-000002000000}" name="Quantity" dataDxfId="13"/>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D14:E17" totalsRowShown="0" headerRowDxfId="12" dataDxfId="10" headerRowBorderDxfId="11" tableBorderDxfId="9" totalsRowBorderDxfId="8">
  <autoFilter ref="D14:E17" xr:uid="{00000000-0009-0000-0100-000009000000}"/>
  <tableColumns count="2">
    <tableColumn id="1" xr3:uid="{00000000-0010-0000-0800-000001000000}" name="Component" dataDxfId="7"/>
    <tableColumn id="2" xr3:uid="{00000000-0010-0000-0800-000002000000}" name="Cost" dataDxfId="6"/>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D23:E25" totalsRowShown="0" headerRowDxfId="5" headerRowBorderDxfId="4" tableBorderDxfId="3" totalsRowBorderDxfId="2">
  <autoFilter ref="D23:E25" xr:uid="{00000000-0009-0000-0100-00000A000000}"/>
  <tableColumns count="2">
    <tableColumn id="1" xr3:uid="{00000000-0010-0000-0900-000001000000}" name="Component" dataDxfId="1"/>
    <tableColumn id="2" xr3:uid="{00000000-0010-0000-0900-000002000000}" name="Cos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5" Type="http://schemas.openxmlformats.org/officeDocument/2006/relationships/table" Target="../tables/table7.xm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47"/>
  <sheetViews>
    <sheetView tabSelected="1" workbookViewId="0"/>
  </sheetViews>
  <sheetFormatPr defaultRowHeight="18" x14ac:dyDescent="0.35"/>
  <cols>
    <col min="1" max="1" width="2" style="115" customWidth="1"/>
    <col min="2" max="2" width="46" style="115" customWidth="1"/>
    <col min="3" max="3" width="30" style="115" customWidth="1"/>
    <col min="4" max="5" width="16" style="115" customWidth="1"/>
    <col min="6" max="6" width="80" style="115" customWidth="1"/>
  </cols>
  <sheetData>
    <row r="2" spans="2:6" ht="19.8" customHeight="1" x14ac:dyDescent="0.4">
      <c r="B2" s="32" t="s">
        <v>0</v>
      </c>
    </row>
    <row r="3" spans="2:6" ht="30" customHeight="1" x14ac:dyDescent="0.35">
      <c r="B3" s="120" t="s">
        <v>1</v>
      </c>
      <c r="C3" s="121"/>
      <c r="D3" s="121"/>
      <c r="E3" s="121"/>
      <c r="F3" s="121"/>
    </row>
    <row r="5" spans="2:6" x14ac:dyDescent="0.35">
      <c r="B5" s="33" t="s">
        <v>2</v>
      </c>
      <c r="C5" s="33" t="s">
        <v>3</v>
      </c>
      <c r="D5" s="33" t="s">
        <v>4</v>
      </c>
      <c r="E5" s="33" t="s">
        <v>5</v>
      </c>
      <c r="F5" s="33" t="s">
        <v>6</v>
      </c>
    </row>
    <row r="6" spans="2:6" ht="31.95" customHeight="1" x14ac:dyDescent="0.35">
      <c r="B6" s="108" t="s">
        <v>7</v>
      </c>
      <c r="C6" s="108" t="s">
        <v>8</v>
      </c>
      <c r="D6" s="34">
        <f>'Inference (Groq)'!$D$14</f>
        <v>1645.6</v>
      </c>
      <c r="E6" s="35">
        <f>'Inference (Groq)'!$K$14</f>
        <v>0.36056592000000004</v>
      </c>
      <c r="F6" s="108" t="s">
        <v>9</v>
      </c>
    </row>
    <row r="7" spans="2:6" ht="31.95" customHeight="1" x14ac:dyDescent="0.35">
      <c r="B7" s="108" t="s">
        <v>10</v>
      </c>
      <c r="C7" s="108" t="s">
        <v>11</v>
      </c>
      <c r="D7" s="34">
        <f>'Inference (Groq)'!$D$15</f>
        <v>658.24</v>
      </c>
      <c r="E7" s="35">
        <f>'Inference (Groq)'!$K$15</f>
        <v>0.78608217599999997</v>
      </c>
      <c r="F7" s="108" t="s">
        <v>12</v>
      </c>
    </row>
    <row r="8" spans="2:6" ht="31.95" customHeight="1" x14ac:dyDescent="0.35">
      <c r="B8" s="108" t="s">
        <v>13</v>
      </c>
      <c r="C8" s="108" t="s">
        <v>14</v>
      </c>
      <c r="D8" s="34">
        <f>'Inference (Groq)'!$D$16</f>
        <v>88</v>
      </c>
      <c r="E8" s="35">
        <f>'Inference (Groq)'!$K$16</f>
        <v>7.4910000000000004E-2</v>
      </c>
      <c r="F8" s="108" t="s">
        <v>15</v>
      </c>
    </row>
    <row r="9" spans="2:6" ht="31.95" customHeight="1" x14ac:dyDescent="0.35">
      <c r="B9" s="108" t="s">
        <v>16</v>
      </c>
      <c r="C9" s="108" t="s">
        <v>14</v>
      </c>
      <c r="D9" s="34">
        <f>'Inference (Groq)'!$D$17</f>
        <v>5</v>
      </c>
      <c r="E9" s="35">
        <f>'Inference (Groq)'!$K$17</f>
        <v>2.4225000000000003E-2</v>
      </c>
      <c r="F9" s="108" t="s">
        <v>17</v>
      </c>
    </row>
    <row r="10" spans="2:6" ht="31.95" customHeight="1" x14ac:dyDescent="0.35">
      <c r="B10" s="108" t="s">
        <v>18</v>
      </c>
      <c r="C10" s="108" t="s">
        <v>11</v>
      </c>
      <c r="D10" s="34">
        <f>'Inference (Groq)'!$D$18</f>
        <v>330</v>
      </c>
      <c r="E10" s="35">
        <f>'Inference (Groq)'!$K$18</f>
        <v>0.27073350000000002</v>
      </c>
      <c r="F10" s="108" t="s">
        <v>19</v>
      </c>
    </row>
    <row r="11" spans="2:6" ht="31.95" customHeight="1" x14ac:dyDescent="0.35">
      <c r="B11" s="108" t="s">
        <v>20</v>
      </c>
      <c r="C11" s="108" t="s">
        <v>21</v>
      </c>
      <c r="D11" s="34">
        <v>0</v>
      </c>
      <c r="E11" s="35">
        <v>0</v>
      </c>
      <c r="F11" s="108" t="s">
        <v>22</v>
      </c>
    </row>
    <row r="12" spans="2:6" ht="36" customHeight="1" x14ac:dyDescent="0.35">
      <c r="B12" s="108" t="s">
        <v>23</v>
      </c>
      <c r="C12" s="108" t="s">
        <v>24</v>
      </c>
      <c r="D12" s="108"/>
      <c r="E12" s="35">
        <f>0.25*SUM(E6:E11)</f>
        <v>0.379129149</v>
      </c>
      <c r="F12" s="108" t="s">
        <v>25</v>
      </c>
    </row>
    <row r="13" spans="2:6" x14ac:dyDescent="0.35">
      <c r="B13" s="36" t="s">
        <v>26</v>
      </c>
      <c r="C13" s="37"/>
      <c r="D13" s="38">
        <f>SUM(D6:D11)</f>
        <v>2726.84</v>
      </c>
      <c r="E13" s="39">
        <f>SUM(E6:E12)</f>
        <v>1.8956457449999999</v>
      </c>
      <c r="F13" s="37" t="s">
        <v>27</v>
      </c>
    </row>
    <row r="14" spans="2:6" ht="36" customHeight="1" x14ac:dyDescent="0.35">
      <c r="B14" s="108" t="s">
        <v>28</v>
      </c>
      <c r="C14" s="108" t="s">
        <v>29</v>
      </c>
      <c r="D14" s="108"/>
      <c r="E14" s="35">
        <f>Infrastructure!$D$10</f>
        <v>45</v>
      </c>
      <c r="F14" s="108" t="s">
        <v>30</v>
      </c>
    </row>
    <row r="15" spans="2:6" x14ac:dyDescent="0.35">
      <c r="B15" s="40" t="s">
        <v>31</v>
      </c>
      <c r="C15" s="41" t="s">
        <v>32</v>
      </c>
      <c r="D15" s="41"/>
      <c r="E15" s="42">
        <f>E13+E14</f>
        <v>46.895645745000003</v>
      </c>
      <c r="F15" s="41"/>
    </row>
    <row r="16" spans="2:6" x14ac:dyDescent="0.35">
      <c r="B16" s="40" t="s">
        <v>33</v>
      </c>
      <c r="C16" s="41"/>
      <c r="D16" s="41"/>
      <c r="E16" s="42">
        <f>E15/'Volume Sizing'!$D$6</f>
        <v>11.723911436250001</v>
      </c>
      <c r="F16" s="41"/>
    </row>
    <row r="17" spans="2:6" x14ac:dyDescent="0.35">
      <c r="B17" s="108" t="s">
        <v>34</v>
      </c>
      <c r="C17" s="108"/>
      <c r="D17" s="108"/>
      <c r="E17" s="35">
        <f>E13/'Volume Sizing'!$D$6</f>
        <v>0.47391143624999998</v>
      </c>
      <c r="F17" s="108" t="s">
        <v>35</v>
      </c>
    </row>
    <row r="19" spans="2:6" ht="36" customHeight="1" x14ac:dyDescent="0.35">
      <c r="B19" s="43" t="s">
        <v>36</v>
      </c>
      <c r="C19" s="108" t="s">
        <v>37</v>
      </c>
      <c r="D19" s="34">
        <f>'Inference (Groq)'!$D$19</f>
        <v>176</v>
      </c>
      <c r="E19" s="35">
        <f>1.25*'Inference (Groq)'!$K$26</f>
        <v>0.48474250000000002</v>
      </c>
      <c r="F19" s="108" t="s">
        <v>38</v>
      </c>
    </row>
    <row r="20" spans="2:6" x14ac:dyDescent="0.35">
      <c r="B20" s="43" t="s">
        <v>39</v>
      </c>
      <c r="C20" s="108"/>
      <c r="D20" s="108"/>
      <c r="E20" s="44">
        <f>E15+E19</f>
        <v>47.380388245000006</v>
      </c>
      <c r="F20" s="108" t="str">
        <f>"Per seller: $"&amp;TEXT(E20/'Volume Sizing'!$D$6,"0.00")</f>
        <v>Per seller: $11.85</v>
      </c>
    </row>
    <row r="22" spans="2:6" x14ac:dyDescent="0.35">
      <c r="B22" s="45" t="s">
        <v>40</v>
      </c>
    </row>
    <row r="23" spans="2:6" x14ac:dyDescent="0.35">
      <c r="B23" s="33" t="s">
        <v>41</v>
      </c>
      <c r="C23" s="33"/>
      <c r="D23" s="33"/>
      <c r="E23" s="33" t="s">
        <v>42</v>
      </c>
      <c r="F23" s="33" t="s">
        <v>43</v>
      </c>
    </row>
    <row r="24" spans="2:6" ht="31.95" customHeight="1" x14ac:dyDescent="0.35">
      <c r="B24" s="118" t="s">
        <v>44</v>
      </c>
      <c r="C24" s="122"/>
      <c r="D24" s="119"/>
      <c r="E24" s="35">
        <f>SUM(E6:E10)</f>
        <v>1.516516596</v>
      </c>
      <c r="F24" s="108" t="s">
        <v>45</v>
      </c>
    </row>
    <row r="25" spans="2:6" ht="31.95" customHeight="1" x14ac:dyDescent="0.35">
      <c r="B25" s="118" t="s">
        <v>46</v>
      </c>
      <c r="C25" s="122"/>
      <c r="D25" s="119"/>
      <c r="E25" s="35">
        <f>'Inference (Groq)'!$K$32</f>
        <v>12.572748064000001</v>
      </c>
      <c r="F25" s="108" t="s">
        <v>47</v>
      </c>
    </row>
    <row r="26" spans="2:6" ht="31.95" customHeight="1" x14ac:dyDescent="0.35">
      <c r="B26" s="118" t="s">
        <v>48</v>
      </c>
      <c r="C26" s="122"/>
      <c r="D26" s="119"/>
      <c r="E26" s="35">
        <f>Inference!K26+Inference!K7+Inference!K45+Inference!K64+Inference!K83</f>
        <v>20.046429664000005</v>
      </c>
      <c r="F26" s="108" t="s">
        <v>49</v>
      </c>
    </row>
    <row r="27" spans="2:6" ht="31.95" customHeight="1" x14ac:dyDescent="0.35">
      <c r="B27" s="118" t="s">
        <v>50</v>
      </c>
      <c r="C27" s="122"/>
      <c r="D27" s="119"/>
      <c r="E27" s="35">
        <f>'Inference (Groq)'!$K$29</f>
        <v>1.877082516</v>
      </c>
      <c r="F27" s="108" t="s">
        <v>51</v>
      </c>
    </row>
    <row r="28" spans="2:6" ht="31.95" customHeight="1" x14ac:dyDescent="0.35">
      <c r="B28" s="118" t="s">
        <v>52</v>
      </c>
      <c r="C28" s="122"/>
      <c r="D28" s="119"/>
      <c r="E28" s="35">
        <f>'Inference (Groq)'!$K$30</f>
        <v>2.69563986</v>
      </c>
      <c r="F28" s="108" t="s">
        <v>53</v>
      </c>
    </row>
    <row r="29" spans="2:6" ht="31.95" customHeight="1" x14ac:dyDescent="0.35">
      <c r="B29" s="118" t="s">
        <v>54</v>
      </c>
      <c r="C29" s="122"/>
      <c r="D29" s="119"/>
      <c r="E29" s="35">
        <f>'Inference (Groq)'!$K$31</f>
        <v>1.7738866440000001</v>
      </c>
      <c r="F29" s="108" t="s">
        <v>55</v>
      </c>
    </row>
    <row r="30" spans="2:6" ht="31.95" customHeight="1" x14ac:dyDescent="0.35">
      <c r="B30" s="118" t="s">
        <v>56</v>
      </c>
      <c r="C30" s="122"/>
      <c r="D30" s="119"/>
      <c r="E30" s="35">
        <f>3*SUM(E6:E10)</f>
        <v>4.5495497880000002</v>
      </c>
      <c r="F30" s="108" t="s">
        <v>57</v>
      </c>
    </row>
    <row r="32" spans="2:6" x14ac:dyDescent="0.35">
      <c r="B32" s="45" t="s">
        <v>58</v>
      </c>
    </row>
    <row r="33" spans="2:6" x14ac:dyDescent="0.35">
      <c r="B33" s="33" t="s">
        <v>59</v>
      </c>
      <c r="C33" s="33"/>
      <c r="D33" s="33"/>
      <c r="E33" s="33" t="s">
        <v>60</v>
      </c>
      <c r="F33" s="33" t="s">
        <v>61</v>
      </c>
    </row>
    <row r="34" spans="2:6" ht="31.95" customHeight="1" x14ac:dyDescent="0.35">
      <c r="B34" s="118" t="s">
        <v>62</v>
      </c>
      <c r="C34" s="122"/>
      <c r="D34" s="119"/>
      <c r="E34" s="108" t="s">
        <v>63</v>
      </c>
      <c r="F34" s="108" t="s">
        <v>64</v>
      </c>
    </row>
    <row r="35" spans="2:6" ht="31.95" customHeight="1" x14ac:dyDescent="0.35">
      <c r="B35" s="118" t="s">
        <v>65</v>
      </c>
      <c r="C35" s="122"/>
      <c r="D35" s="119"/>
      <c r="E35" s="108" t="s">
        <v>66</v>
      </c>
      <c r="F35" s="108" t="s">
        <v>67</v>
      </c>
    </row>
    <row r="36" spans="2:6" ht="31.95" customHeight="1" x14ac:dyDescent="0.35">
      <c r="B36" s="118" t="s">
        <v>68</v>
      </c>
      <c r="C36" s="122"/>
      <c r="D36" s="119"/>
      <c r="E36" s="108" t="s">
        <v>69</v>
      </c>
      <c r="F36" s="108" t="s">
        <v>70</v>
      </c>
    </row>
    <row r="37" spans="2:6" ht="31.95" customHeight="1" x14ac:dyDescent="0.35">
      <c r="B37" s="118" t="s">
        <v>71</v>
      </c>
      <c r="C37" s="122"/>
      <c r="D37" s="119"/>
      <c r="E37" s="108" t="s">
        <v>72</v>
      </c>
      <c r="F37" s="108" t="s">
        <v>73</v>
      </c>
    </row>
    <row r="38" spans="2:6" ht="31.95" customHeight="1" x14ac:dyDescent="0.35">
      <c r="B38" s="118" t="s">
        <v>74</v>
      </c>
      <c r="C38" s="122"/>
      <c r="D38" s="119"/>
      <c r="E38" s="108" t="s">
        <v>75</v>
      </c>
      <c r="F38" s="108" t="s">
        <v>76</v>
      </c>
    </row>
    <row r="39" spans="2:6" ht="31.95" customHeight="1" x14ac:dyDescent="0.35">
      <c r="B39" s="118" t="s">
        <v>77</v>
      </c>
      <c r="C39" s="122"/>
      <c r="D39" s="119"/>
      <c r="E39" s="108" t="s">
        <v>78</v>
      </c>
      <c r="F39" s="108" t="s">
        <v>79</v>
      </c>
    </row>
    <row r="40" spans="2:6" ht="31.95" customHeight="1" x14ac:dyDescent="0.35">
      <c r="B40" s="118" t="s">
        <v>80</v>
      </c>
      <c r="C40" s="122"/>
      <c r="D40" s="119"/>
      <c r="E40" s="108" t="s">
        <v>81</v>
      </c>
      <c r="F40" s="108" t="s">
        <v>82</v>
      </c>
    </row>
    <row r="41" spans="2:6" ht="31.95" customHeight="1" x14ac:dyDescent="0.35">
      <c r="B41" s="118" t="s">
        <v>83</v>
      </c>
      <c r="C41" s="122"/>
      <c r="D41" s="119"/>
      <c r="E41" s="108" t="s">
        <v>84</v>
      </c>
      <c r="F41" s="108" t="s">
        <v>85</v>
      </c>
    </row>
    <row r="42" spans="2:6" ht="36" customHeight="1" x14ac:dyDescent="0.35">
      <c r="B42" s="79" t="s">
        <v>86</v>
      </c>
      <c r="E42" s="79" t="s">
        <v>87</v>
      </c>
      <c r="F42" s="79" t="s">
        <v>88</v>
      </c>
    </row>
    <row r="43" spans="2:6" x14ac:dyDescent="0.35">
      <c r="B43" s="45" t="s">
        <v>89</v>
      </c>
    </row>
    <row r="44" spans="2:6" x14ac:dyDescent="0.35">
      <c r="B44" s="33" t="s">
        <v>90</v>
      </c>
      <c r="C44" s="33"/>
      <c r="D44" s="33" t="s">
        <v>91</v>
      </c>
      <c r="E44" s="33" t="s">
        <v>92</v>
      </c>
      <c r="F44" s="33" t="s">
        <v>93</v>
      </c>
    </row>
    <row r="45" spans="2:6" ht="36" customHeight="1" x14ac:dyDescent="0.35">
      <c r="B45" s="118" t="s">
        <v>94</v>
      </c>
      <c r="C45" s="119"/>
      <c r="D45" s="108">
        <v>1</v>
      </c>
      <c r="E45" s="80">
        <f>50*('Inference (Groq)'!$J$14+'Inference (Groq)'!$J$15)+4*'Inference (Groq)'!$J$16+'Inference (Groq)'!$J$17+20*'Inference (Groq)'!$J$18</f>
        <v>9.5324454545454559E-2</v>
      </c>
      <c r="F45" s="108" t="s">
        <v>95</v>
      </c>
    </row>
    <row r="46" spans="2:6" x14ac:dyDescent="0.35">
      <c r="B46" s="118" t="s">
        <v>96</v>
      </c>
      <c r="C46" s="119"/>
      <c r="D46" s="108">
        <v>40</v>
      </c>
      <c r="E46" s="35">
        <f>D46*E45</f>
        <v>3.8129781818181825</v>
      </c>
      <c r="F46" s="108" t="s">
        <v>97</v>
      </c>
    </row>
    <row r="47" spans="2:6" ht="36" customHeight="1" x14ac:dyDescent="0.35">
      <c r="B47" s="118" t="s">
        <v>98</v>
      </c>
      <c r="C47" s="119"/>
      <c r="D47" s="108"/>
      <c r="E47" s="35">
        <f>Infrastructure!$C$10</f>
        <v>0</v>
      </c>
      <c r="F47" s="108" t="s">
        <v>99</v>
      </c>
    </row>
  </sheetData>
  <mergeCells count="19">
    <mergeCell ref="B45:C45"/>
    <mergeCell ref="B27:D27"/>
    <mergeCell ref="B39:D39"/>
    <mergeCell ref="B47:C47"/>
    <mergeCell ref="B3:F3"/>
    <mergeCell ref="B46:C46"/>
    <mergeCell ref="B29:D29"/>
    <mergeCell ref="B38:D38"/>
    <mergeCell ref="B34:D34"/>
    <mergeCell ref="B28:D28"/>
    <mergeCell ref="B37:D37"/>
    <mergeCell ref="B40:D40"/>
    <mergeCell ref="B30:D30"/>
    <mergeCell ref="B24:D24"/>
    <mergeCell ref="B36:D36"/>
    <mergeCell ref="B41:D41"/>
    <mergeCell ref="B35:D35"/>
    <mergeCell ref="B26:D26"/>
    <mergeCell ref="B25:D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31"/>
  <sheetViews>
    <sheetView workbookViewId="0"/>
  </sheetViews>
  <sheetFormatPr defaultRowHeight="18" x14ac:dyDescent="0.35"/>
  <cols>
    <col min="1" max="1" width="2" style="115" customWidth="1"/>
    <col min="2" max="2" width="52" style="115" customWidth="1"/>
    <col min="3" max="4" width="18" style="115" customWidth="1"/>
    <col min="5" max="5" width="90" style="115" customWidth="1"/>
  </cols>
  <sheetData>
    <row r="2" spans="2:5" x14ac:dyDescent="0.35">
      <c r="B2" s="46" t="s">
        <v>100</v>
      </c>
    </row>
    <row r="3" spans="2:5" x14ac:dyDescent="0.35">
      <c r="B3" s="47" t="s">
        <v>101</v>
      </c>
    </row>
    <row r="5" spans="2:5" ht="36" customHeight="1" x14ac:dyDescent="0.35">
      <c r="B5" s="33" t="s">
        <v>102</v>
      </c>
      <c r="C5" s="33" t="s">
        <v>103</v>
      </c>
      <c r="D5" s="33" t="s">
        <v>104</v>
      </c>
      <c r="E5" s="33" t="s">
        <v>105</v>
      </c>
    </row>
    <row r="6" spans="2:5" ht="18" customHeight="1" x14ac:dyDescent="0.35">
      <c r="B6" s="108" t="s">
        <v>106</v>
      </c>
      <c r="C6" s="81">
        <v>4</v>
      </c>
      <c r="D6" s="81">
        <v>4</v>
      </c>
      <c r="E6" s="108" t="s">
        <v>107</v>
      </c>
    </row>
    <row r="7" spans="2:5" ht="18" customHeight="1" x14ac:dyDescent="0.35">
      <c r="B7" s="108" t="s">
        <v>108</v>
      </c>
      <c r="C7" s="81">
        <v>40</v>
      </c>
      <c r="D7" s="82">
        <v>200</v>
      </c>
      <c r="E7" s="108" t="s">
        <v>109</v>
      </c>
    </row>
    <row r="8" spans="2:5" ht="18" customHeight="1" x14ac:dyDescent="0.35">
      <c r="B8" s="108" t="s">
        <v>110</v>
      </c>
      <c r="C8" s="81">
        <v>34</v>
      </c>
      <c r="D8" s="81"/>
      <c r="E8" s="108" t="s">
        <v>111</v>
      </c>
    </row>
    <row r="9" spans="2:5" ht="31.95" customHeight="1" x14ac:dyDescent="0.35">
      <c r="B9" s="108" t="s">
        <v>112</v>
      </c>
      <c r="C9" s="81">
        <v>134</v>
      </c>
      <c r="D9" s="82">
        <v>150</v>
      </c>
      <c r="E9" s="108" t="s">
        <v>113</v>
      </c>
    </row>
    <row r="10" spans="2:5" ht="18" customHeight="1" x14ac:dyDescent="0.35">
      <c r="B10" s="108" t="s">
        <v>114</v>
      </c>
      <c r="C10" s="81">
        <v>16</v>
      </c>
      <c r="D10" s="81"/>
      <c r="E10" s="108" t="s">
        <v>115</v>
      </c>
    </row>
    <row r="11" spans="2:5" ht="18" customHeight="1" x14ac:dyDescent="0.35">
      <c r="B11" s="108" t="s">
        <v>116</v>
      </c>
      <c r="C11" s="81">
        <v>99</v>
      </c>
      <c r="D11" s="82">
        <v>120</v>
      </c>
      <c r="E11" s="108" t="s">
        <v>117</v>
      </c>
    </row>
    <row r="12" spans="2:5" ht="31.95" customHeight="1" x14ac:dyDescent="0.35">
      <c r="B12" s="108" t="s">
        <v>118</v>
      </c>
      <c r="C12" s="83">
        <f>25/5*4.33</f>
        <v>21.65</v>
      </c>
      <c r="D12" s="81"/>
      <c r="E12" s="108" t="s">
        <v>119</v>
      </c>
    </row>
    <row r="13" spans="2:5" ht="18" customHeight="1" x14ac:dyDescent="0.35">
      <c r="B13" s="108" t="s">
        <v>120</v>
      </c>
      <c r="C13" s="83">
        <f>14/5*4.33</f>
        <v>12.123999999999999</v>
      </c>
      <c r="D13" s="81"/>
      <c r="E13" s="108" t="s">
        <v>121</v>
      </c>
    </row>
    <row r="14" spans="2:5" ht="31.95" customHeight="1" x14ac:dyDescent="0.35">
      <c r="B14" s="108" t="s">
        <v>122</v>
      </c>
      <c r="C14" s="81"/>
      <c r="D14" s="82">
        <v>17</v>
      </c>
      <c r="E14" s="108" t="s">
        <v>123</v>
      </c>
    </row>
    <row r="15" spans="2:5" ht="31.95" customHeight="1" x14ac:dyDescent="0.35">
      <c r="B15" s="108" t="s">
        <v>124</v>
      </c>
      <c r="C15" s="81"/>
      <c r="D15" s="82">
        <v>1.7</v>
      </c>
      <c r="E15" s="108" t="s">
        <v>125</v>
      </c>
    </row>
    <row r="16" spans="2:5" ht="18" customHeight="1" x14ac:dyDescent="0.35">
      <c r="B16" s="108" t="s">
        <v>126</v>
      </c>
      <c r="C16" s="81"/>
      <c r="D16" s="82">
        <v>22</v>
      </c>
      <c r="E16" s="108" t="s">
        <v>127</v>
      </c>
    </row>
    <row r="17" spans="2:5" ht="18" customHeight="1" x14ac:dyDescent="0.35">
      <c r="B17" s="108" t="s">
        <v>128</v>
      </c>
      <c r="C17" s="81"/>
      <c r="D17" s="81">
        <f>D6*D14*D16</f>
        <v>1496</v>
      </c>
      <c r="E17" s="108" t="s">
        <v>129</v>
      </c>
    </row>
    <row r="18" spans="2:5" ht="18" customHeight="1" x14ac:dyDescent="0.35">
      <c r="B18" s="108" t="s">
        <v>130</v>
      </c>
      <c r="C18" s="81"/>
      <c r="D18" s="81">
        <f>D6*D15*D16</f>
        <v>149.6</v>
      </c>
      <c r="E18" s="108" t="s">
        <v>131</v>
      </c>
    </row>
    <row r="19" spans="2:5" ht="18" customHeight="1" x14ac:dyDescent="0.35">
      <c r="B19" s="108" t="s">
        <v>132</v>
      </c>
      <c r="C19" s="81"/>
      <c r="D19" s="48">
        <f>D17+D18</f>
        <v>1645.6</v>
      </c>
      <c r="E19" s="108"/>
    </row>
    <row r="20" spans="2:5" ht="18" customHeight="1" x14ac:dyDescent="0.35">
      <c r="B20" s="108" t="s">
        <v>133</v>
      </c>
      <c r="C20" s="81"/>
      <c r="D20" s="81">
        <f>(D17*D9+D18*D11)/D19</f>
        <v>147.27272727272728</v>
      </c>
      <c r="E20" s="108"/>
    </row>
    <row r="21" spans="2:5" ht="31.95" customHeight="1" x14ac:dyDescent="0.35">
      <c r="B21" s="108" t="s">
        <v>134</v>
      </c>
      <c r="C21" s="81"/>
      <c r="D21" s="49">
        <v>0.4</v>
      </c>
      <c r="E21" s="108" t="s">
        <v>135</v>
      </c>
    </row>
    <row r="22" spans="2:5" ht="18" customHeight="1" x14ac:dyDescent="0.35">
      <c r="B22" s="108" t="s">
        <v>136</v>
      </c>
      <c r="C22" s="81"/>
      <c r="D22" s="48">
        <f>D19*D21</f>
        <v>658.24</v>
      </c>
      <c r="E22" s="108"/>
    </row>
    <row r="23" spans="2:5" ht="31.95" customHeight="1" x14ac:dyDescent="0.35">
      <c r="B23" s="108" t="s">
        <v>137</v>
      </c>
      <c r="C23" s="81"/>
      <c r="D23" s="82">
        <v>3</v>
      </c>
      <c r="E23" s="108" t="s">
        <v>138</v>
      </c>
    </row>
    <row r="24" spans="2:5" ht="18" customHeight="1" x14ac:dyDescent="0.35">
      <c r="B24" s="108" t="s">
        <v>139</v>
      </c>
      <c r="C24" s="81"/>
      <c r="D24" s="49">
        <v>0.25</v>
      </c>
      <c r="E24" s="108" t="s">
        <v>140</v>
      </c>
    </row>
    <row r="25" spans="2:5" ht="18" customHeight="1" x14ac:dyDescent="0.35">
      <c r="B25" s="108" t="s">
        <v>141</v>
      </c>
      <c r="C25" s="81"/>
      <c r="D25" s="48">
        <f>D6*D23*D16*(1+D24)</f>
        <v>330</v>
      </c>
      <c r="E25" s="108"/>
    </row>
    <row r="26" spans="2:5" ht="18" customHeight="1" x14ac:dyDescent="0.35">
      <c r="B26" s="108" t="s">
        <v>142</v>
      </c>
      <c r="C26" s="81"/>
      <c r="D26" s="81">
        <f>D6*D16</f>
        <v>88</v>
      </c>
      <c r="E26" s="108" t="s">
        <v>143</v>
      </c>
    </row>
    <row r="27" spans="2:5" ht="18" customHeight="1" x14ac:dyDescent="0.35">
      <c r="B27" s="108" t="s">
        <v>144</v>
      </c>
      <c r="C27" s="81"/>
      <c r="D27" s="82">
        <v>5</v>
      </c>
      <c r="E27" s="108" t="s">
        <v>145</v>
      </c>
    </row>
    <row r="28" spans="2:5" ht="18" customHeight="1" x14ac:dyDescent="0.35">
      <c r="B28" s="108" t="s">
        <v>146</v>
      </c>
      <c r="C28" s="81"/>
      <c r="D28" s="82">
        <v>2</v>
      </c>
      <c r="E28" s="108" t="s">
        <v>147</v>
      </c>
    </row>
    <row r="29" spans="2:5" ht="18" customHeight="1" x14ac:dyDescent="0.35">
      <c r="B29" s="108" t="s">
        <v>148</v>
      </c>
      <c r="C29" s="81"/>
      <c r="D29" s="82">
        <v>1.5</v>
      </c>
      <c r="E29" s="108"/>
    </row>
    <row r="30" spans="2:5" ht="31.95" customHeight="1" x14ac:dyDescent="0.35">
      <c r="B30" s="108" t="s">
        <v>149</v>
      </c>
      <c r="C30" s="81">
        <v>1.3</v>
      </c>
      <c r="D30" s="81">
        <f>1.3*1.3</f>
        <v>1.6900000000000002</v>
      </c>
      <c r="E30" s="108" t="s">
        <v>150</v>
      </c>
    </row>
    <row r="31" spans="2:5" ht="31.95" customHeight="1" x14ac:dyDescent="0.35">
      <c r="B31" s="108" t="s">
        <v>151</v>
      </c>
      <c r="C31" s="81"/>
      <c r="D31" s="81">
        <f>C12*(D7/C7)*4</f>
        <v>433</v>
      </c>
      <c r="E31" s="108" t="s">
        <v>152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B2:O124"/>
  <sheetViews>
    <sheetView zoomScaleNormal="100" workbookViewId="0">
      <selection activeCell="A2" sqref="A2"/>
    </sheetView>
  </sheetViews>
  <sheetFormatPr defaultColWidth="11.1640625" defaultRowHeight="18" x14ac:dyDescent="0.35"/>
  <cols>
    <col min="2" max="2" width="44" style="115" customWidth="1"/>
    <col min="3" max="3" width="14" style="115" customWidth="1"/>
    <col min="4" max="4" width="3" style="115" customWidth="1"/>
    <col min="5" max="5" width="30" style="115" customWidth="1"/>
    <col min="6" max="10" width="13" style="115" customWidth="1"/>
    <col min="11" max="11" width="15" style="115" customWidth="1"/>
    <col min="12" max="13" width="13" style="115" customWidth="1"/>
    <col min="14" max="14" width="15" style="115" customWidth="1"/>
    <col min="15" max="15" width="17" style="115" customWidth="1"/>
  </cols>
  <sheetData>
    <row r="2" spans="2:15" x14ac:dyDescent="0.35">
      <c r="B2" s="47" t="s">
        <v>153</v>
      </c>
    </row>
    <row r="3" spans="2:15" ht="20.100000000000001" customHeight="1" thickBot="1" x14ac:dyDescent="0.4"/>
    <row r="4" spans="2:15" ht="18.899999999999999" customHeight="1" x14ac:dyDescent="0.35">
      <c r="B4" s="123" t="s">
        <v>154</v>
      </c>
      <c r="C4" s="125"/>
      <c r="E4" s="126" t="s">
        <v>155</v>
      </c>
      <c r="F4" s="124"/>
      <c r="G4" s="124"/>
      <c r="H4" s="124"/>
      <c r="I4" s="124"/>
      <c r="J4" s="124"/>
      <c r="K4" s="124"/>
      <c r="L4" s="124"/>
      <c r="M4" s="124"/>
      <c r="N4" s="124"/>
      <c r="O4" s="125"/>
    </row>
    <row r="5" spans="2:15" ht="39.9" customHeight="1" x14ac:dyDescent="0.35">
      <c r="B5" s="20" t="s">
        <v>156</v>
      </c>
      <c r="C5" s="13" t="s">
        <v>91</v>
      </c>
      <c r="E5" s="50" t="s">
        <v>157</v>
      </c>
      <c r="F5" s="51" t="s">
        <v>158</v>
      </c>
      <c r="G5" s="51" t="s">
        <v>159</v>
      </c>
      <c r="H5" s="51" t="s">
        <v>160</v>
      </c>
      <c r="I5" s="51" t="s">
        <v>161</v>
      </c>
      <c r="J5" s="51" t="s">
        <v>162</v>
      </c>
      <c r="K5" s="52" t="s">
        <v>163</v>
      </c>
      <c r="L5" s="53" t="s">
        <v>164</v>
      </c>
      <c r="M5" s="53" t="s">
        <v>165</v>
      </c>
      <c r="N5" s="53" t="s">
        <v>166</v>
      </c>
      <c r="O5" s="53" t="s">
        <v>167</v>
      </c>
    </row>
    <row r="6" spans="2:15" ht="36" customHeight="1" x14ac:dyDescent="0.35">
      <c r="B6" s="54" t="s">
        <v>168</v>
      </c>
      <c r="C6" s="55">
        <f>'Volume Sizing'!$D$20*'Volume Sizing'!$D$30+40</f>
        <v>288.89090909090913</v>
      </c>
      <c r="E6" s="23" t="s">
        <v>169</v>
      </c>
      <c r="F6" s="2">
        <v>1</v>
      </c>
      <c r="G6" s="2">
        <v>5</v>
      </c>
      <c r="H6" s="84">
        <f>F6*$C$11/1000000</f>
        <v>4.3488909090909095E-3</v>
      </c>
      <c r="I6" s="84">
        <f>G6*$C$12/1000000</f>
        <v>2.5000000000000001E-3</v>
      </c>
      <c r="J6" s="84">
        <f>H6+I6</f>
        <v>6.84889090909091E-3</v>
      </c>
      <c r="K6" s="56">
        <f>Table2[[#This Row],[Total Cost per query]]*$C$16</f>
        <v>4.5082139520000011</v>
      </c>
      <c r="L6" s="2">
        <v>0.1</v>
      </c>
      <c r="M6" s="2">
        <v>4096</v>
      </c>
      <c r="N6" s="84">
        <f>IF(AND($C$17&gt;0,$C$17&gt;=M6),(($C$11-$C$17)*F6+$C$17*($C$18*L6+(1-$C$18)*F6*$C$19))/1000000+I6,J6)</f>
        <v>6.84889090909091E-3</v>
      </c>
      <c r="O6" s="56">
        <f>N6*$C$16</f>
        <v>4.5082139520000011</v>
      </c>
    </row>
    <row r="7" spans="2:15" ht="36" customHeight="1" x14ac:dyDescent="0.35">
      <c r="B7" s="54" t="s">
        <v>170</v>
      </c>
      <c r="C7" s="55">
        <v>1800</v>
      </c>
      <c r="E7" s="57" t="s">
        <v>171</v>
      </c>
      <c r="F7" s="58">
        <v>2</v>
      </c>
      <c r="G7" s="58">
        <v>10</v>
      </c>
      <c r="H7" s="85">
        <f>F7*$C$11/1000000</f>
        <v>8.6977818181818191E-3</v>
      </c>
      <c r="I7" s="85">
        <f>G7*$C$12/1000000</f>
        <v>5.0000000000000001E-3</v>
      </c>
      <c r="J7" s="85">
        <f>H7+I7</f>
        <v>1.369778181818182E-2</v>
      </c>
      <c r="K7" s="59">
        <f>Table2[[#This Row],[Total Cost per query]]*$C$16</f>
        <v>9.0164279040000022</v>
      </c>
      <c r="L7" s="58">
        <v>0.2</v>
      </c>
      <c r="M7" s="58">
        <v>512</v>
      </c>
      <c r="N7" s="85">
        <f>IF(AND($C$17&gt;0,$C$17&gt;=M7),(($C$11-$C$17)*F7+$C$17*($C$18*L7+(1-$C$18)*F7*$C$19))/1000000+I7,J7)</f>
        <v>8.8697818181818176E-3</v>
      </c>
      <c r="O7" s="59">
        <f>N7*$C$16</f>
        <v>5.8384451839999993</v>
      </c>
    </row>
    <row r="8" spans="2:15" x14ac:dyDescent="0.35">
      <c r="B8" s="54" t="s">
        <v>172</v>
      </c>
      <c r="C8" s="55">
        <v>1500</v>
      </c>
      <c r="E8" s="23" t="s">
        <v>173</v>
      </c>
      <c r="F8" s="2">
        <v>4</v>
      </c>
      <c r="G8" s="2">
        <v>20</v>
      </c>
      <c r="H8" s="84">
        <f>F8*$C$11/1000000</f>
        <v>1.7395563636363638E-2</v>
      </c>
      <c r="I8" s="84">
        <f>G8*$C$12/1000000</f>
        <v>0.01</v>
      </c>
      <c r="J8" s="84">
        <f>H8+I8</f>
        <v>2.739556363636364E-2</v>
      </c>
      <c r="K8" s="56">
        <f>Table2[[#This Row],[Total Cost per query]]*$C$16</f>
        <v>18.032855808000004</v>
      </c>
      <c r="L8" s="2">
        <v>0.2</v>
      </c>
      <c r="M8" s="2">
        <v>512</v>
      </c>
      <c r="N8" s="84">
        <f>IF(AND($C$17&gt;0,$C$17&gt;=M8),(($C$11-$C$17)*F8+$C$17*($C$18*L8+(1-$C$18)*F8*$C$19))/1000000+I8,J8)</f>
        <v>1.7127563636363637E-2</v>
      </c>
      <c r="O8" s="56">
        <f>N8*$C$16</f>
        <v>11.274047488000001</v>
      </c>
    </row>
    <row r="9" spans="2:15" ht="36" customHeight="1" x14ac:dyDescent="0.35">
      <c r="B9" s="54" t="s">
        <v>174</v>
      </c>
      <c r="C9" s="55">
        <v>660</v>
      </c>
      <c r="E9" s="24"/>
      <c r="F9" s="25"/>
      <c r="G9" s="25"/>
      <c r="H9" s="25"/>
      <c r="I9" s="25"/>
      <c r="J9" s="25"/>
      <c r="K9" s="60"/>
    </row>
    <row r="10" spans="2:15" x14ac:dyDescent="0.35">
      <c r="B10" s="54" t="s">
        <v>175</v>
      </c>
      <c r="C10" s="55">
        <v>100</v>
      </c>
      <c r="E10" s="21" t="s">
        <v>176</v>
      </c>
      <c r="F10" s="21" t="s">
        <v>177</v>
      </c>
      <c r="G10" s="25"/>
      <c r="H10" s="25"/>
      <c r="I10" s="25"/>
      <c r="J10" s="25"/>
      <c r="K10" s="60"/>
      <c r="O10" s="61">
        <f>O7</f>
        <v>5.8384451839999993</v>
      </c>
    </row>
    <row r="11" spans="2:15" x14ac:dyDescent="0.35">
      <c r="B11" s="62" t="s">
        <v>178</v>
      </c>
      <c r="C11" s="86">
        <f>SUM(C6:C10)</f>
        <v>4348.8909090909092</v>
      </c>
      <c r="E11" s="63" t="s">
        <v>179</v>
      </c>
      <c r="F11" s="87">
        <f>N7</f>
        <v>8.8697818181818176E-3</v>
      </c>
      <c r="G11" s="27"/>
      <c r="H11" s="27"/>
      <c r="I11" s="27"/>
      <c r="J11" s="27"/>
      <c r="K11" s="64"/>
    </row>
    <row r="12" spans="2:15" x14ac:dyDescent="0.35">
      <c r="B12" s="62" t="s">
        <v>180</v>
      </c>
      <c r="C12" s="86">
        <v>500</v>
      </c>
    </row>
    <row r="13" spans="2:15" x14ac:dyDescent="0.35">
      <c r="B13" s="62" t="s">
        <v>181</v>
      </c>
      <c r="C13" s="86">
        <f>C11+C12</f>
        <v>4848.8909090909092</v>
      </c>
    </row>
    <row r="14" spans="2:15" x14ac:dyDescent="0.35">
      <c r="B14" s="62" t="s">
        <v>182</v>
      </c>
      <c r="C14" s="86">
        <f>'Volume Sizing'!$D$22/'Volume Sizing'!$D$16</f>
        <v>29.92</v>
      </c>
    </row>
    <row r="15" spans="2:15" x14ac:dyDescent="0.35">
      <c r="B15" s="62" t="s">
        <v>183</v>
      </c>
      <c r="C15" s="86">
        <f>'Volume Sizing'!$D$16</f>
        <v>22</v>
      </c>
    </row>
    <row r="16" spans="2:15" ht="20.100000000000001" customHeight="1" thickBot="1" x14ac:dyDescent="0.4">
      <c r="B16" s="62" t="s">
        <v>184</v>
      </c>
      <c r="C16" s="86">
        <f>C14*C15</f>
        <v>658.24</v>
      </c>
    </row>
    <row r="17" spans="2:15" x14ac:dyDescent="0.35">
      <c r="B17" s="54" t="s">
        <v>185</v>
      </c>
      <c r="C17" s="88">
        <f>C7+C8+C10</f>
        <v>3400</v>
      </c>
    </row>
    <row r="18" spans="2:15" x14ac:dyDescent="0.35">
      <c r="B18" s="54" t="s">
        <v>186</v>
      </c>
      <c r="C18" s="65">
        <v>0.9</v>
      </c>
    </row>
    <row r="19" spans="2:15" x14ac:dyDescent="0.35">
      <c r="B19" s="54" t="s">
        <v>187</v>
      </c>
      <c r="C19" s="88">
        <v>2</v>
      </c>
    </row>
    <row r="20" spans="2:15" ht="61.95" customHeight="1" x14ac:dyDescent="0.35">
      <c r="B20" s="120" t="s">
        <v>188</v>
      </c>
      <c r="C20" s="121"/>
      <c r="D20" s="121"/>
      <c r="E20" s="121"/>
      <c r="F20" s="121"/>
      <c r="G20" s="121"/>
      <c r="H20" s="121"/>
      <c r="I20" s="121"/>
      <c r="J20" s="121"/>
      <c r="K20" s="121"/>
      <c r="L20" s="121"/>
      <c r="M20" s="121"/>
      <c r="N20" s="121"/>
      <c r="O20" s="121"/>
    </row>
    <row r="23" spans="2:15" x14ac:dyDescent="0.35">
      <c r="B23" s="123" t="s">
        <v>189</v>
      </c>
      <c r="C23" s="125"/>
      <c r="E23" s="123" t="s">
        <v>190</v>
      </c>
      <c r="F23" s="124"/>
      <c r="G23" s="124"/>
      <c r="H23" s="124"/>
      <c r="I23" s="124"/>
      <c r="J23" s="124"/>
      <c r="K23" s="124"/>
      <c r="L23" s="124"/>
      <c r="M23" s="124"/>
      <c r="N23" s="124"/>
      <c r="O23" s="125"/>
    </row>
    <row r="24" spans="2:15" ht="54" customHeight="1" x14ac:dyDescent="0.35">
      <c r="B24" s="66" t="s">
        <v>156</v>
      </c>
      <c r="C24" s="66" t="s">
        <v>191</v>
      </c>
      <c r="E24" s="53" t="s">
        <v>157</v>
      </c>
      <c r="F24" s="53" t="s">
        <v>158</v>
      </c>
      <c r="G24" s="53" t="s">
        <v>159</v>
      </c>
      <c r="H24" s="53" t="s">
        <v>160</v>
      </c>
      <c r="I24" s="53" t="s">
        <v>161</v>
      </c>
      <c r="J24" s="53" t="s">
        <v>162</v>
      </c>
      <c r="K24" s="53" t="s">
        <v>163</v>
      </c>
      <c r="L24" s="53" t="s">
        <v>164</v>
      </c>
      <c r="M24" s="53" t="s">
        <v>165</v>
      </c>
      <c r="N24" s="53" t="s">
        <v>166</v>
      </c>
      <c r="O24" s="53" t="s">
        <v>167</v>
      </c>
    </row>
    <row r="25" spans="2:15" x14ac:dyDescent="0.35">
      <c r="B25" s="54" t="s">
        <v>192</v>
      </c>
      <c r="C25" s="55">
        <f>'Volume Sizing'!$D$20*'Volume Sizing'!$D$30+40</f>
        <v>288.89090909090913</v>
      </c>
      <c r="E25" s="57" t="s">
        <v>193</v>
      </c>
      <c r="F25" s="58">
        <v>1</v>
      </c>
      <c r="G25" s="58">
        <v>5</v>
      </c>
      <c r="H25" s="85">
        <f>F25*$C$30/1000000</f>
        <v>1.5388909090909091E-3</v>
      </c>
      <c r="I25" s="85">
        <f>G25*$C$31/1000000</f>
        <v>7.5000000000000002E-4</v>
      </c>
      <c r="J25" s="85">
        <f>H25+I25</f>
        <v>2.2888909090909093E-3</v>
      </c>
      <c r="K25" s="59">
        <f>J25*$C$35</f>
        <v>3.7665988800000001</v>
      </c>
      <c r="L25" s="58">
        <v>0.1</v>
      </c>
      <c r="M25" s="58">
        <v>4096</v>
      </c>
      <c r="N25" s="85">
        <f>IF(AND($C$36&gt;0,$C$36&gt;=M25),(($C$30-$C$36)*F25+$C$36*($C$37*L25+(1-$C$37)*F25*$C$38))/1000000+I25,J25)</f>
        <v>2.2888909090909093E-3</v>
      </c>
      <c r="O25" s="59">
        <f>N25*$C$35</f>
        <v>3.7665988800000001</v>
      </c>
    </row>
    <row r="26" spans="2:15" x14ac:dyDescent="0.35">
      <c r="B26" s="54" t="s">
        <v>194</v>
      </c>
      <c r="C26" s="55">
        <v>700</v>
      </c>
      <c r="E26" s="23" t="s">
        <v>177</v>
      </c>
      <c r="F26" s="2">
        <v>2</v>
      </c>
      <c r="G26" s="2">
        <v>10</v>
      </c>
      <c r="H26" s="84">
        <f>F26*$C$30/1000000</f>
        <v>3.0777818181818182E-3</v>
      </c>
      <c r="I26" s="84">
        <f>G26*$C$31/1000000</f>
        <v>1.5E-3</v>
      </c>
      <c r="J26" s="84">
        <f>H26+I26</f>
        <v>4.5777818181818187E-3</v>
      </c>
      <c r="K26" s="56">
        <f>J26*$C$35</f>
        <v>7.5331977600000002</v>
      </c>
      <c r="L26" s="2">
        <v>0.2</v>
      </c>
      <c r="M26" s="2">
        <v>512</v>
      </c>
      <c r="N26" s="84">
        <f>IF(AND($C$36&gt;0,$C$36&gt;=M26),(($C$30-$C$36)*F26+$C$36*($C$37*L26+(1-$C$37)*F26*$C$38))/1000000+I26,J26)</f>
        <v>3.4417818181818184E-3</v>
      </c>
      <c r="O26" s="56">
        <f>N26*$C$35</f>
        <v>5.6637961600000004</v>
      </c>
    </row>
    <row r="27" spans="2:15" ht="36" customHeight="1" x14ac:dyDescent="0.35">
      <c r="B27" s="54" t="s">
        <v>195</v>
      </c>
      <c r="C27" s="55">
        <v>300</v>
      </c>
      <c r="E27" s="23" t="s">
        <v>173</v>
      </c>
      <c r="F27" s="2">
        <v>4</v>
      </c>
      <c r="G27" s="2">
        <v>20</v>
      </c>
      <c r="H27" s="84">
        <f>F27*$C$30/1000000</f>
        <v>6.1555636363636364E-3</v>
      </c>
      <c r="I27" s="84">
        <f>G27*$C$31/1000000</f>
        <v>3.0000000000000001E-3</v>
      </c>
      <c r="J27" s="84">
        <f>H27+I27</f>
        <v>9.1555636363636374E-3</v>
      </c>
      <c r="K27" s="56">
        <f>J27*$C$35</f>
        <v>15.06639552</v>
      </c>
      <c r="L27" s="2">
        <v>0.2</v>
      </c>
      <c r="M27" s="2">
        <v>512</v>
      </c>
      <c r="N27" s="84">
        <f>IF(AND($C$36&gt;0,$C$36&gt;=M27),(($C$30-$C$36)*F27+$C$36*($C$37*L27+(1-$C$37)*F27*$C$38))/1000000+I27,J27)</f>
        <v>6.7395636363636368E-3</v>
      </c>
      <c r="O27" s="56">
        <f>N27*$C$35</f>
        <v>11.090625920000001</v>
      </c>
    </row>
    <row r="28" spans="2:15" x14ac:dyDescent="0.35">
      <c r="B28" s="54" t="s">
        <v>196</v>
      </c>
      <c r="C28" s="55">
        <v>100</v>
      </c>
    </row>
    <row r="29" spans="2:15" x14ac:dyDescent="0.35">
      <c r="B29" s="54" t="s">
        <v>197</v>
      </c>
      <c r="C29" s="55">
        <v>150</v>
      </c>
      <c r="E29" s="21" t="s">
        <v>176</v>
      </c>
      <c r="F29" s="21" t="s">
        <v>169</v>
      </c>
      <c r="O29" s="61">
        <f>O25</f>
        <v>3.7665988800000001</v>
      </c>
    </row>
    <row r="30" spans="2:15" x14ac:dyDescent="0.35">
      <c r="B30" s="62" t="s">
        <v>178</v>
      </c>
      <c r="C30" s="86">
        <f>SUM(C25:C29)</f>
        <v>1538.8909090909092</v>
      </c>
      <c r="E30" s="67" t="s">
        <v>179</v>
      </c>
      <c r="F30" s="89">
        <f>N25</f>
        <v>2.2888909090909093E-3</v>
      </c>
    </row>
    <row r="31" spans="2:15" x14ac:dyDescent="0.35">
      <c r="B31" s="62" t="s">
        <v>180</v>
      </c>
      <c r="C31" s="86">
        <v>150</v>
      </c>
    </row>
    <row r="32" spans="2:15" x14ac:dyDescent="0.35">
      <c r="B32" s="62" t="s">
        <v>181</v>
      </c>
      <c r="C32" s="86">
        <f>C30+C31</f>
        <v>1688.8909090909092</v>
      </c>
    </row>
    <row r="33" spans="2:15" x14ac:dyDescent="0.35">
      <c r="B33" s="62" t="s">
        <v>182</v>
      </c>
      <c r="C33" s="86">
        <f>'Volume Sizing'!$D$19/'Volume Sizing'!$D$16</f>
        <v>74.8</v>
      </c>
    </row>
    <row r="34" spans="2:15" x14ac:dyDescent="0.35">
      <c r="B34" s="62" t="s">
        <v>183</v>
      </c>
      <c r="C34" s="86">
        <f>'Volume Sizing'!$D$16</f>
        <v>22</v>
      </c>
    </row>
    <row r="35" spans="2:15" x14ac:dyDescent="0.35">
      <c r="B35" s="62" t="s">
        <v>184</v>
      </c>
      <c r="C35" s="86">
        <f>C33*C34</f>
        <v>1645.6</v>
      </c>
    </row>
    <row r="36" spans="2:15" x14ac:dyDescent="0.35">
      <c r="B36" s="54" t="s">
        <v>185</v>
      </c>
      <c r="C36" s="88">
        <f>C26+C28</f>
        <v>800</v>
      </c>
    </row>
    <row r="37" spans="2:15" x14ac:dyDescent="0.35">
      <c r="B37" s="54" t="s">
        <v>186</v>
      </c>
      <c r="C37" s="65">
        <v>0.9</v>
      </c>
    </row>
    <row r="38" spans="2:15" x14ac:dyDescent="0.35">
      <c r="B38" s="54" t="s">
        <v>187</v>
      </c>
      <c r="C38" s="88">
        <v>2</v>
      </c>
    </row>
    <row r="39" spans="2:15" ht="61.95" customHeight="1" x14ac:dyDescent="0.35">
      <c r="B39" s="120" t="s">
        <v>198</v>
      </c>
      <c r="C39" s="121"/>
      <c r="D39" s="121"/>
      <c r="E39" s="121"/>
      <c r="F39" s="121"/>
      <c r="G39" s="121"/>
      <c r="H39" s="121"/>
      <c r="I39" s="121"/>
      <c r="J39" s="121"/>
      <c r="K39" s="121"/>
      <c r="L39" s="121"/>
      <c r="M39" s="121"/>
      <c r="N39" s="121"/>
      <c r="O39" s="121"/>
    </row>
    <row r="42" spans="2:15" x14ac:dyDescent="0.35">
      <c r="B42" s="123" t="s">
        <v>199</v>
      </c>
      <c r="C42" s="125"/>
      <c r="E42" s="123" t="s">
        <v>200</v>
      </c>
      <c r="F42" s="124"/>
      <c r="G42" s="124"/>
      <c r="H42" s="124"/>
      <c r="I42" s="124"/>
      <c r="J42" s="124"/>
      <c r="K42" s="124"/>
      <c r="L42" s="124"/>
      <c r="M42" s="124"/>
      <c r="N42" s="124"/>
      <c r="O42" s="125"/>
    </row>
    <row r="43" spans="2:15" ht="54" customHeight="1" x14ac:dyDescent="0.35">
      <c r="B43" s="66" t="s">
        <v>156</v>
      </c>
      <c r="C43" s="66" t="s">
        <v>191</v>
      </c>
      <c r="E43" s="53" t="s">
        <v>157</v>
      </c>
      <c r="F43" s="53" t="s">
        <v>201</v>
      </c>
      <c r="G43" s="53" t="s">
        <v>202</v>
      </c>
      <c r="H43" s="53" t="s">
        <v>160</v>
      </c>
      <c r="I43" s="53" t="s">
        <v>161</v>
      </c>
      <c r="J43" s="53" t="s">
        <v>162</v>
      </c>
      <c r="K43" s="53" t="s">
        <v>163</v>
      </c>
      <c r="L43" s="53" t="s">
        <v>164</v>
      </c>
      <c r="M43" s="53" t="s">
        <v>165</v>
      </c>
      <c r="N43" s="53" t="s">
        <v>166</v>
      </c>
      <c r="O43" s="53" t="s">
        <v>167</v>
      </c>
    </row>
    <row r="44" spans="2:15" x14ac:dyDescent="0.35">
      <c r="B44" s="54" t="s">
        <v>203</v>
      </c>
      <c r="C44" s="55">
        <v>1500</v>
      </c>
      <c r="E44" s="57" t="s">
        <v>204</v>
      </c>
      <c r="F44" s="58">
        <v>0.5</v>
      </c>
      <c r="G44" s="58">
        <v>2.5</v>
      </c>
      <c r="H44" s="85">
        <f>F44*$C$49/1000000</f>
        <v>1.2999999999999999E-3</v>
      </c>
      <c r="I44" s="85">
        <f>G44*$C$50/1000000</f>
        <v>1E-3</v>
      </c>
      <c r="J44" s="85">
        <f>H44+I44</f>
        <v>2.3E-3</v>
      </c>
      <c r="K44" s="59">
        <f>J44*$C$54</f>
        <v>0.2024</v>
      </c>
      <c r="L44" s="58">
        <v>0.05</v>
      </c>
      <c r="M44" s="58">
        <v>4096</v>
      </c>
      <c r="N44" s="85">
        <f>IF(AND($C$55&gt;0,$C$55&gt;=M44),(($C$49-$C$55)*F44+$C$55*($C$56*L44+(1-$C$56)*F44*$C$57))/1000000+I44,J44)</f>
        <v>2.3E-3</v>
      </c>
      <c r="O44" s="59">
        <f>N44*$C$54</f>
        <v>0.2024</v>
      </c>
    </row>
    <row r="45" spans="2:15" x14ac:dyDescent="0.35">
      <c r="B45" s="54" t="s">
        <v>205</v>
      </c>
      <c r="C45" s="55">
        <v>500</v>
      </c>
      <c r="E45" s="23" t="s">
        <v>206</v>
      </c>
      <c r="F45" s="2">
        <v>1</v>
      </c>
      <c r="G45" s="2">
        <v>5</v>
      </c>
      <c r="H45" s="84">
        <f>F45*$C$49/1000000</f>
        <v>2.5999999999999999E-3</v>
      </c>
      <c r="I45" s="84">
        <f>G45*$C$50/1000000</f>
        <v>2E-3</v>
      </c>
      <c r="J45" s="84">
        <f>H45+I45</f>
        <v>4.5999999999999999E-3</v>
      </c>
      <c r="K45" s="56">
        <f>J45*$C$54</f>
        <v>0.40479999999999999</v>
      </c>
      <c r="L45" s="2">
        <v>0.1</v>
      </c>
      <c r="M45" s="2">
        <v>512</v>
      </c>
      <c r="N45" s="84">
        <f>IF(AND($C$55&gt;0,$C$55&gt;=M45),(($C$49-$C$55)*F45+$C$55*($C$56*L45+(1-$C$56)*F45*$C$57))/1000000+I45,J45)</f>
        <v>4.5999999999999999E-3</v>
      </c>
      <c r="O45" s="56">
        <f>N45*$C$54</f>
        <v>0.40479999999999999</v>
      </c>
    </row>
    <row r="46" spans="2:15" x14ac:dyDescent="0.35">
      <c r="B46" s="54" t="s">
        <v>207</v>
      </c>
      <c r="C46" s="55">
        <v>450</v>
      </c>
      <c r="E46" s="23" t="s">
        <v>208</v>
      </c>
      <c r="F46" s="2">
        <v>2</v>
      </c>
      <c r="G46" s="2">
        <v>10</v>
      </c>
      <c r="H46" s="84">
        <f>F46*$C$49/1000000</f>
        <v>5.1999999999999998E-3</v>
      </c>
      <c r="I46" s="84">
        <f>G46*$C$50/1000000</f>
        <v>4.0000000000000001E-3</v>
      </c>
      <c r="J46" s="84">
        <f>H46+I46</f>
        <v>9.1999999999999998E-3</v>
      </c>
      <c r="K46" s="56">
        <f>J46*$C$54</f>
        <v>0.80959999999999999</v>
      </c>
      <c r="L46" s="2">
        <v>0.1</v>
      </c>
      <c r="M46" s="2">
        <v>512</v>
      </c>
      <c r="N46" s="84">
        <f>IF(AND($C$55&gt;0,$C$55&gt;=M46),(($C$49-$C$55)*F46+$C$55*($C$56*L46+(1-$C$56)*F46*$C$57))/1000000+I46,J46)</f>
        <v>9.1999999999999998E-3</v>
      </c>
      <c r="O46" s="56">
        <f>N46*$C$54</f>
        <v>0.80959999999999999</v>
      </c>
    </row>
    <row r="47" spans="2:15" x14ac:dyDescent="0.35">
      <c r="B47" s="54" t="s">
        <v>209</v>
      </c>
      <c r="C47" s="55">
        <v>100</v>
      </c>
    </row>
    <row r="48" spans="2:15" x14ac:dyDescent="0.35">
      <c r="B48" s="54" t="s">
        <v>210</v>
      </c>
      <c r="C48" s="55">
        <v>50</v>
      </c>
      <c r="E48" s="21" t="s">
        <v>176</v>
      </c>
      <c r="F48" s="21" t="s">
        <v>169</v>
      </c>
      <c r="O48" s="61">
        <f>O44</f>
        <v>0.2024</v>
      </c>
    </row>
    <row r="49" spans="2:15" x14ac:dyDescent="0.35">
      <c r="B49" s="62" t="s">
        <v>178</v>
      </c>
      <c r="C49" s="86">
        <f>SUM(C44:C48)</f>
        <v>2600</v>
      </c>
      <c r="E49" s="67" t="s">
        <v>179</v>
      </c>
      <c r="F49" s="89">
        <f>N44</f>
        <v>2.3E-3</v>
      </c>
    </row>
    <row r="50" spans="2:15" x14ac:dyDescent="0.35">
      <c r="B50" s="62" t="s">
        <v>180</v>
      </c>
      <c r="C50" s="86">
        <v>400</v>
      </c>
    </row>
    <row r="51" spans="2:15" x14ac:dyDescent="0.35">
      <c r="B51" s="62" t="s">
        <v>181</v>
      </c>
      <c r="C51" s="86">
        <f>C49+C50</f>
        <v>3000</v>
      </c>
    </row>
    <row r="52" spans="2:15" x14ac:dyDescent="0.35">
      <c r="B52" s="62" t="s">
        <v>182</v>
      </c>
      <c r="C52" s="86">
        <f>'Volume Sizing'!$D$6</f>
        <v>4</v>
      </c>
    </row>
    <row r="53" spans="2:15" x14ac:dyDescent="0.35">
      <c r="B53" s="62" t="s">
        <v>183</v>
      </c>
      <c r="C53" s="86">
        <f>'Volume Sizing'!$D$16</f>
        <v>22</v>
      </c>
    </row>
    <row r="54" spans="2:15" x14ac:dyDescent="0.35">
      <c r="B54" s="62" t="s">
        <v>184</v>
      </c>
      <c r="C54" s="86">
        <f>C52*C53</f>
        <v>88</v>
      </c>
    </row>
    <row r="55" spans="2:15" x14ac:dyDescent="0.35">
      <c r="B55" s="54" t="s">
        <v>185</v>
      </c>
      <c r="C55" s="88">
        <v>0</v>
      </c>
    </row>
    <row r="56" spans="2:15" x14ac:dyDescent="0.35">
      <c r="B56" s="54" t="s">
        <v>186</v>
      </c>
      <c r="C56" s="65">
        <v>0</v>
      </c>
    </row>
    <row r="57" spans="2:15" x14ac:dyDescent="0.35">
      <c r="B57" s="54" t="s">
        <v>187</v>
      </c>
      <c r="C57" s="88">
        <v>1</v>
      </c>
    </row>
    <row r="58" spans="2:15" ht="61.95" customHeight="1" x14ac:dyDescent="0.35">
      <c r="B58" s="120" t="s">
        <v>211</v>
      </c>
      <c r="C58" s="121"/>
      <c r="D58" s="121"/>
      <c r="E58" s="121"/>
      <c r="F58" s="121"/>
      <c r="G58" s="121"/>
      <c r="H58" s="121"/>
      <c r="I58" s="121"/>
      <c r="J58" s="121"/>
      <c r="K58" s="121"/>
      <c r="L58" s="121"/>
      <c r="M58" s="121"/>
      <c r="N58" s="121"/>
      <c r="O58" s="121"/>
    </row>
    <row r="61" spans="2:15" x14ac:dyDescent="0.35">
      <c r="B61" s="123" t="s">
        <v>212</v>
      </c>
      <c r="C61" s="125"/>
      <c r="E61" s="123" t="s">
        <v>213</v>
      </c>
      <c r="F61" s="124"/>
      <c r="G61" s="124"/>
      <c r="H61" s="124"/>
      <c r="I61" s="124"/>
      <c r="J61" s="124"/>
      <c r="K61" s="124"/>
      <c r="L61" s="124"/>
      <c r="M61" s="124"/>
      <c r="N61" s="124"/>
      <c r="O61" s="125"/>
    </row>
    <row r="62" spans="2:15" ht="54" customHeight="1" x14ac:dyDescent="0.35">
      <c r="B62" s="66" t="s">
        <v>156</v>
      </c>
      <c r="C62" s="66" t="s">
        <v>191</v>
      </c>
      <c r="E62" s="53" t="s">
        <v>157</v>
      </c>
      <c r="F62" s="53" t="s">
        <v>201</v>
      </c>
      <c r="G62" s="53" t="s">
        <v>202</v>
      </c>
      <c r="H62" s="53" t="s">
        <v>160</v>
      </c>
      <c r="I62" s="53" t="s">
        <v>161</v>
      </c>
      <c r="J62" s="53" t="s">
        <v>162</v>
      </c>
      <c r="K62" s="53" t="s">
        <v>163</v>
      </c>
      <c r="L62" s="53" t="s">
        <v>164</v>
      </c>
      <c r="M62" s="53" t="s">
        <v>165</v>
      </c>
      <c r="N62" s="53" t="s">
        <v>166</v>
      </c>
      <c r="O62" s="53" t="s">
        <v>167</v>
      </c>
    </row>
    <row r="63" spans="2:15" ht="36" customHeight="1" x14ac:dyDescent="0.35">
      <c r="B63" s="54" t="s">
        <v>214</v>
      </c>
      <c r="C63" s="55">
        <v>12000</v>
      </c>
      <c r="E63" s="23" t="s">
        <v>215</v>
      </c>
      <c r="F63" s="2">
        <v>0.5</v>
      </c>
      <c r="G63" s="2">
        <v>2.5</v>
      </c>
      <c r="H63" s="84">
        <f>F63*$C$68/1000000</f>
        <v>8.1499999999999993E-3</v>
      </c>
      <c r="I63" s="84">
        <f>G63*$C$69/1000000</f>
        <v>6.2500000000000003E-3</v>
      </c>
      <c r="J63" s="84">
        <f>H63+I63</f>
        <v>1.44E-2</v>
      </c>
      <c r="K63" s="56">
        <f>J63*$C$73</f>
        <v>7.1999999999999995E-2</v>
      </c>
      <c r="L63" s="2">
        <v>0.05</v>
      </c>
      <c r="M63" s="2">
        <v>4096</v>
      </c>
      <c r="N63" s="84">
        <f>IF(AND($C$74&gt;0,$C$74&gt;=M63),(($C$68-$C$74)*F63+$C$74*($C$75*L63+(1-$C$75)*F63*$C$76))/1000000+I63,J63)</f>
        <v>1.44E-2</v>
      </c>
      <c r="O63" s="56">
        <f>N63*$C$73</f>
        <v>7.1999999999999995E-2</v>
      </c>
    </row>
    <row r="64" spans="2:15" x14ac:dyDescent="0.35">
      <c r="B64" s="54" t="s">
        <v>216</v>
      </c>
      <c r="C64" s="55">
        <v>1000</v>
      </c>
      <c r="E64" s="57" t="s">
        <v>217</v>
      </c>
      <c r="F64" s="58">
        <v>1</v>
      </c>
      <c r="G64" s="58">
        <v>5</v>
      </c>
      <c r="H64" s="85">
        <f>F64*$C$68/1000000</f>
        <v>1.6299999999999999E-2</v>
      </c>
      <c r="I64" s="85">
        <f>G64*$C$69/1000000</f>
        <v>1.2500000000000001E-2</v>
      </c>
      <c r="J64" s="85">
        <f>H64+I64</f>
        <v>2.8799999999999999E-2</v>
      </c>
      <c r="K64" s="59">
        <f>J64*$C$73</f>
        <v>0.14399999999999999</v>
      </c>
      <c r="L64" s="58">
        <v>0.1</v>
      </c>
      <c r="M64" s="58">
        <v>512</v>
      </c>
      <c r="N64" s="85">
        <f>IF(AND($C$74&gt;0,$C$74&gt;=M64),(($C$68-$C$74)*F64+$C$74*($C$75*L64+(1-$C$75)*F64*$C$76))/1000000+I64,J64)</f>
        <v>2.8799999999999999E-2</v>
      </c>
      <c r="O64" s="59">
        <f>N64*$C$73</f>
        <v>0.14399999999999999</v>
      </c>
    </row>
    <row r="65" spans="2:15" x14ac:dyDescent="0.35">
      <c r="B65" s="54" t="s">
        <v>218</v>
      </c>
      <c r="C65" s="55">
        <v>2000</v>
      </c>
      <c r="E65" s="23" t="s">
        <v>208</v>
      </c>
      <c r="F65" s="2">
        <v>2</v>
      </c>
      <c r="G65" s="2">
        <v>10</v>
      </c>
      <c r="H65" s="84">
        <f>F65*$C$68/1000000</f>
        <v>3.2599999999999997E-2</v>
      </c>
      <c r="I65" s="84">
        <f>G65*$C$69/1000000</f>
        <v>2.5000000000000001E-2</v>
      </c>
      <c r="J65" s="84">
        <f>H65+I65</f>
        <v>5.7599999999999998E-2</v>
      </c>
      <c r="K65" s="56">
        <f>J65*$C$73</f>
        <v>0.28799999999999998</v>
      </c>
      <c r="L65" s="2">
        <v>0.1</v>
      </c>
      <c r="M65" s="2">
        <v>512</v>
      </c>
      <c r="N65" s="84">
        <f>IF(AND($C$74&gt;0,$C$74&gt;=M65),(($C$68-$C$74)*F65+$C$74*($C$75*L65+(1-$C$75)*F65*$C$76))/1000000+I65,J65)</f>
        <v>5.7599999999999998E-2</v>
      </c>
      <c r="O65" s="56">
        <f>N65*$C$73</f>
        <v>0.28799999999999998</v>
      </c>
    </row>
    <row r="66" spans="2:15" x14ac:dyDescent="0.35">
      <c r="B66" s="54" t="s">
        <v>219</v>
      </c>
      <c r="C66" s="55">
        <v>1000</v>
      </c>
    </row>
    <row r="67" spans="2:15" x14ac:dyDescent="0.35">
      <c r="B67" s="54" t="s">
        <v>220</v>
      </c>
      <c r="C67" s="55">
        <v>300</v>
      </c>
      <c r="E67" s="21" t="s">
        <v>176</v>
      </c>
      <c r="F67" s="21" t="s">
        <v>177</v>
      </c>
      <c r="O67" s="61">
        <f>O64</f>
        <v>0.14399999999999999</v>
      </c>
    </row>
    <row r="68" spans="2:15" x14ac:dyDescent="0.35">
      <c r="B68" s="62" t="s">
        <v>178</v>
      </c>
      <c r="C68" s="86">
        <f>SUM(C63:C67)</f>
        <v>16300</v>
      </c>
      <c r="E68" s="67" t="s">
        <v>179</v>
      </c>
      <c r="F68" s="89">
        <f>N64</f>
        <v>2.8799999999999999E-2</v>
      </c>
    </row>
    <row r="69" spans="2:15" x14ac:dyDescent="0.35">
      <c r="B69" s="62" t="s">
        <v>180</v>
      </c>
      <c r="C69" s="86">
        <v>2500</v>
      </c>
    </row>
    <row r="70" spans="2:15" x14ac:dyDescent="0.35">
      <c r="B70" s="62" t="s">
        <v>181</v>
      </c>
      <c r="C70" s="86">
        <f>C68+C69</f>
        <v>18800</v>
      </c>
    </row>
    <row r="71" spans="2:15" x14ac:dyDescent="0.35">
      <c r="B71" s="62" t="s">
        <v>182</v>
      </c>
      <c r="C71" s="86">
        <v>1</v>
      </c>
    </row>
    <row r="72" spans="2:15" x14ac:dyDescent="0.35">
      <c r="B72" s="62" t="s">
        <v>183</v>
      </c>
      <c r="C72" s="86">
        <f>'Volume Sizing'!$D$27</f>
        <v>5</v>
      </c>
    </row>
    <row r="73" spans="2:15" x14ac:dyDescent="0.35">
      <c r="B73" s="62" t="s">
        <v>184</v>
      </c>
      <c r="C73" s="86">
        <f>C71*C72</f>
        <v>5</v>
      </c>
    </row>
    <row r="74" spans="2:15" x14ac:dyDescent="0.35">
      <c r="B74" s="54" t="s">
        <v>185</v>
      </c>
      <c r="C74" s="88">
        <v>0</v>
      </c>
    </row>
    <row r="75" spans="2:15" x14ac:dyDescent="0.35">
      <c r="B75" s="54" t="s">
        <v>186</v>
      </c>
      <c r="C75" s="65">
        <v>0</v>
      </c>
    </row>
    <row r="76" spans="2:15" x14ac:dyDescent="0.35">
      <c r="B76" s="54" t="s">
        <v>187</v>
      </c>
      <c r="C76" s="88">
        <v>1</v>
      </c>
    </row>
    <row r="77" spans="2:15" ht="61.95" customHeight="1" x14ac:dyDescent="0.35">
      <c r="B77" s="120" t="s">
        <v>221</v>
      </c>
      <c r="C77" s="121"/>
      <c r="D77" s="121"/>
      <c r="E77" s="121"/>
      <c r="F77" s="121"/>
      <c r="G77" s="121"/>
      <c r="H77" s="121"/>
      <c r="I77" s="121"/>
      <c r="J77" s="121"/>
      <c r="K77" s="121"/>
      <c r="L77" s="121"/>
      <c r="M77" s="121"/>
      <c r="N77" s="121"/>
      <c r="O77" s="121"/>
    </row>
    <row r="80" spans="2:15" x14ac:dyDescent="0.35">
      <c r="B80" s="123" t="s">
        <v>222</v>
      </c>
      <c r="C80" s="125"/>
      <c r="E80" s="123" t="s">
        <v>223</v>
      </c>
      <c r="F80" s="124"/>
      <c r="G80" s="124"/>
      <c r="H80" s="124"/>
      <c r="I80" s="124"/>
      <c r="J80" s="124"/>
      <c r="K80" s="124"/>
      <c r="L80" s="124"/>
      <c r="M80" s="124"/>
      <c r="N80" s="124"/>
      <c r="O80" s="125"/>
    </row>
    <row r="81" spans="2:15" ht="54" customHeight="1" x14ac:dyDescent="0.35">
      <c r="B81" s="66" t="s">
        <v>156</v>
      </c>
      <c r="C81" s="66" t="s">
        <v>191</v>
      </c>
      <c r="E81" s="53" t="s">
        <v>157</v>
      </c>
      <c r="F81" s="53" t="s">
        <v>158</v>
      </c>
      <c r="G81" s="53" t="s">
        <v>159</v>
      </c>
      <c r="H81" s="53" t="s">
        <v>160</v>
      </c>
      <c r="I81" s="53" t="s">
        <v>161</v>
      </c>
      <c r="J81" s="53" t="s">
        <v>162</v>
      </c>
      <c r="K81" s="53" t="s">
        <v>163</v>
      </c>
      <c r="L81" s="53" t="s">
        <v>164</v>
      </c>
      <c r="M81" s="53" t="s">
        <v>165</v>
      </c>
      <c r="N81" s="53" t="s">
        <v>166</v>
      </c>
      <c r="O81" s="53" t="s">
        <v>167</v>
      </c>
    </row>
    <row r="82" spans="2:15" x14ac:dyDescent="0.35">
      <c r="B82" s="54" t="s">
        <v>224</v>
      </c>
      <c r="C82" s="55">
        <f>3*('Volume Sizing'!$D$20*'Volume Sizing'!$D$30+40)</f>
        <v>866.67272727272734</v>
      </c>
      <c r="E82" s="23" t="s">
        <v>169</v>
      </c>
      <c r="F82" s="2">
        <v>1</v>
      </c>
      <c r="G82" s="2">
        <v>5</v>
      </c>
      <c r="H82" s="84">
        <f>F82*$C$87/1000000</f>
        <v>2.9666727272727278E-3</v>
      </c>
      <c r="I82" s="84">
        <f>G82*$C$88/1000000</f>
        <v>1.5E-3</v>
      </c>
      <c r="J82" s="84">
        <f>H82+I82</f>
        <v>4.4666727272727278E-3</v>
      </c>
      <c r="K82" s="56">
        <f>J82*$C$92</f>
        <v>1.4740020000000003</v>
      </c>
      <c r="L82" s="2">
        <v>0.1</v>
      </c>
      <c r="M82" s="2">
        <v>4096</v>
      </c>
      <c r="N82" s="84">
        <f>IF(AND($C$93&gt;0,$C$93&gt;=M82),(($C$87-$C$93)*F82+$C$93*($C$94*L82+(1-$C$94)*F82*$C$95))/1000000+I82,J82)</f>
        <v>4.4666727272727278E-3</v>
      </c>
      <c r="O82" s="56">
        <f>N82*$C$92</f>
        <v>1.4740020000000003</v>
      </c>
    </row>
    <row r="83" spans="2:15" ht="36" customHeight="1" x14ac:dyDescent="0.35">
      <c r="B83" s="54" t="s">
        <v>225</v>
      </c>
      <c r="C83" s="55">
        <v>1500</v>
      </c>
      <c r="E83" s="57" t="s">
        <v>171</v>
      </c>
      <c r="F83" s="58">
        <v>2</v>
      </c>
      <c r="G83" s="58">
        <v>10</v>
      </c>
      <c r="H83" s="85">
        <f>F83*$C$87/1000000</f>
        <v>5.9333454545454556E-3</v>
      </c>
      <c r="I83" s="85">
        <f>G83*$C$88/1000000</f>
        <v>3.0000000000000001E-3</v>
      </c>
      <c r="J83" s="85">
        <f>H83+I83</f>
        <v>8.9333454545454556E-3</v>
      </c>
      <c r="K83" s="59">
        <f>J83*$C$92</f>
        <v>2.9480040000000005</v>
      </c>
      <c r="L83" s="58">
        <v>0.2</v>
      </c>
      <c r="M83" s="58">
        <v>512</v>
      </c>
      <c r="N83" s="85">
        <f>IF(AND($C$93&gt;0,$C$93&gt;=M83),(($C$87-$C$93)*F83+$C$93*($C$94*L83+(1-$C$94)*F83*$C$95))/1000000+I83,J83)</f>
        <v>7.9433454545454543E-3</v>
      </c>
      <c r="O83" s="59">
        <f>N83*$C$92</f>
        <v>2.6213039999999999</v>
      </c>
    </row>
    <row r="84" spans="2:15" x14ac:dyDescent="0.35">
      <c r="B84" s="54" t="s">
        <v>226</v>
      </c>
      <c r="C84" s="55">
        <v>480</v>
      </c>
      <c r="E84" s="23" t="s">
        <v>173</v>
      </c>
      <c r="F84" s="2">
        <v>4</v>
      </c>
      <c r="G84" s="2">
        <v>20</v>
      </c>
      <c r="H84" s="84">
        <f>F84*$C$87/1000000</f>
        <v>1.1866690909090911E-2</v>
      </c>
      <c r="I84" s="84">
        <f>G84*$C$88/1000000</f>
        <v>6.0000000000000001E-3</v>
      </c>
      <c r="J84" s="84">
        <f>H84+I84</f>
        <v>1.7866690909090911E-2</v>
      </c>
      <c r="K84" s="56">
        <f>J84*$C$92</f>
        <v>5.896008000000001</v>
      </c>
      <c r="L84" s="2">
        <v>0.2</v>
      </c>
      <c r="M84" s="2">
        <v>512</v>
      </c>
      <c r="N84" s="84">
        <f>IF(AND($C$93&gt;0,$C$93&gt;=M84),(($C$87-$C$93)*F84+$C$93*($C$94*L84+(1-$C$94)*F84*$C$95))/1000000+I84,J84)</f>
        <v>1.567669090909091E-2</v>
      </c>
      <c r="O84" s="56">
        <f>N84*$C$92</f>
        <v>5.1733080000000005</v>
      </c>
    </row>
    <row r="85" spans="2:15" x14ac:dyDescent="0.35">
      <c r="B85" s="54" t="s">
        <v>227</v>
      </c>
      <c r="C85" s="55">
        <v>80</v>
      </c>
    </row>
    <row r="86" spans="2:15" x14ac:dyDescent="0.35">
      <c r="B86" s="54" t="s">
        <v>228</v>
      </c>
      <c r="C86" s="55">
        <v>40</v>
      </c>
      <c r="E86" s="21" t="s">
        <v>176</v>
      </c>
      <c r="F86" s="21" t="s">
        <v>177</v>
      </c>
      <c r="O86" s="61">
        <f>O83</f>
        <v>2.6213039999999999</v>
      </c>
    </row>
    <row r="87" spans="2:15" x14ac:dyDescent="0.35">
      <c r="B87" s="62" t="s">
        <v>178</v>
      </c>
      <c r="C87" s="86">
        <f>SUM(C82:C86)</f>
        <v>2966.6727272727276</v>
      </c>
      <c r="E87" s="67" t="s">
        <v>179</v>
      </c>
      <c r="F87" s="89">
        <f>N83</f>
        <v>7.9433454545454543E-3</v>
      </c>
    </row>
    <row r="88" spans="2:15" x14ac:dyDescent="0.35">
      <c r="B88" s="62" t="s">
        <v>180</v>
      </c>
      <c r="C88" s="86">
        <v>300</v>
      </c>
    </row>
    <row r="89" spans="2:15" x14ac:dyDescent="0.35">
      <c r="B89" s="62" t="s">
        <v>181</v>
      </c>
      <c r="C89" s="86">
        <f>C87+C88</f>
        <v>3266.6727272727276</v>
      </c>
    </row>
    <row r="90" spans="2:15" x14ac:dyDescent="0.35">
      <c r="B90" s="62" t="s">
        <v>182</v>
      </c>
      <c r="C90" s="86">
        <f>'Volume Sizing'!$D$25/'Volume Sizing'!$D$16</f>
        <v>15</v>
      </c>
    </row>
    <row r="91" spans="2:15" x14ac:dyDescent="0.35">
      <c r="B91" s="62" t="s">
        <v>183</v>
      </c>
      <c r="C91" s="86">
        <f>'Volume Sizing'!$D$16</f>
        <v>22</v>
      </c>
    </row>
    <row r="92" spans="2:15" x14ac:dyDescent="0.35">
      <c r="B92" s="62" t="s">
        <v>184</v>
      </c>
      <c r="C92" s="86">
        <f>C90*C91</f>
        <v>330</v>
      </c>
    </row>
    <row r="93" spans="2:15" x14ac:dyDescent="0.35">
      <c r="B93" s="54" t="s">
        <v>185</v>
      </c>
      <c r="C93" s="88">
        <f>C83</f>
        <v>1500</v>
      </c>
    </row>
    <row r="94" spans="2:15" x14ac:dyDescent="0.35">
      <c r="B94" s="54" t="s">
        <v>186</v>
      </c>
      <c r="C94" s="65">
        <v>0.7</v>
      </c>
    </row>
    <row r="95" spans="2:15" x14ac:dyDescent="0.35">
      <c r="B95" s="54" t="s">
        <v>187</v>
      </c>
      <c r="C95" s="88">
        <v>2</v>
      </c>
    </row>
    <row r="96" spans="2:15" ht="61.95" customHeight="1" x14ac:dyDescent="0.35">
      <c r="B96" s="120" t="s">
        <v>229</v>
      </c>
      <c r="C96" s="121"/>
      <c r="D96" s="121"/>
      <c r="E96" s="121"/>
      <c r="F96" s="121"/>
      <c r="G96" s="121"/>
      <c r="H96" s="121"/>
      <c r="I96" s="121"/>
      <c r="J96" s="121"/>
      <c r="K96" s="121"/>
      <c r="L96" s="121"/>
      <c r="M96" s="121"/>
      <c r="N96" s="121"/>
      <c r="O96" s="121"/>
    </row>
    <row r="99" spans="2:15" x14ac:dyDescent="0.35">
      <c r="B99" s="123" t="s">
        <v>230</v>
      </c>
      <c r="C99" s="125"/>
      <c r="E99" s="123" t="s">
        <v>231</v>
      </c>
      <c r="F99" s="124"/>
      <c r="G99" s="124"/>
      <c r="H99" s="124"/>
      <c r="I99" s="124"/>
      <c r="J99" s="124"/>
      <c r="K99" s="124"/>
      <c r="L99" s="124"/>
      <c r="M99" s="124"/>
      <c r="N99" s="124"/>
      <c r="O99" s="125"/>
    </row>
    <row r="100" spans="2:15" ht="54" customHeight="1" x14ac:dyDescent="0.35">
      <c r="B100" s="66" t="s">
        <v>156</v>
      </c>
      <c r="C100" s="66" t="s">
        <v>191</v>
      </c>
      <c r="E100" s="53" t="s">
        <v>157</v>
      </c>
      <c r="F100" s="53" t="s">
        <v>158</v>
      </c>
      <c r="G100" s="53" t="s">
        <v>159</v>
      </c>
      <c r="H100" s="53" t="s">
        <v>160</v>
      </c>
      <c r="I100" s="53" t="s">
        <v>161</v>
      </c>
      <c r="J100" s="53" t="s">
        <v>162</v>
      </c>
      <c r="K100" s="53" t="s">
        <v>163</v>
      </c>
      <c r="L100" s="53" t="s">
        <v>164</v>
      </c>
      <c r="M100" s="53" t="s">
        <v>165</v>
      </c>
      <c r="N100" s="53" t="s">
        <v>166</v>
      </c>
      <c r="O100" s="53" t="s">
        <v>167</v>
      </c>
    </row>
    <row r="101" spans="2:15" x14ac:dyDescent="0.35">
      <c r="B101" s="54" t="s">
        <v>232</v>
      </c>
      <c r="C101" s="55">
        <f>'Volume Sizing'!$D$29*150*'Volume Sizing'!$D$30</f>
        <v>380.25000000000006</v>
      </c>
      <c r="E101" s="23" t="s">
        <v>169</v>
      </c>
      <c r="F101" s="2">
        <v>1</v>
      </c>
      <c r="G101" s="2">
        <v>5</v>
      </c>
      <c r="H101" s="84">
        <f>F101*$C$106/1000000</f>
        <v>4.4402499999999998E-3</v>
      </c>
      <c r="I101" s="84">
        <f>G101*$C$107/1000000</f>
        <v>2.5000000000000001E-3</v>
      </c>
      <c r="J101" s="84">
        <f>H101+I101</f>
        <v>6.9402500000000002E-3</v>
      </c>
      <c r="K101" s="56">
        <f>J101*$C$111</f>
        <v>1.221484</v>
      </c>
      <c r="L101" s="2">
        <v>0.1</v>
      </c>
      <c r="M101" s="2">
        <v>4096</v>
      </c>
      <c r="N101" s="84">
        <f>IF(AND($C$112&gt;0,$C$112&gt;=M101),(($C$106-$C$112)*F101+$C$112*($C$113*L101+(1-$C$113)*F101*$C$114))/1000000+I101,J101)</f>
        <v>6.9402500000000002E-3</v>
      </c>
      <c r="O101" s="56">
        <f>N101*$C$111</f>
        <v>1.221484</v>
      </c>
    </row>
    <row r="102" spans="2:15" ht="36" customHeight="1" x14ac:dyDescent="0.35">
      <c r="B102" s="54" t="s">
        <v>170</v>
      </c>
      <c r="C102" s="55">
        <v>1800</v>
      </c>
      <c r="E102" s="57" t="s">
        <v>171</v>
      </c>
      <c r="F102" s="58">
        <v>2</v>
      </c>
      <c r="G102" s="58">
        <v>10</v>
      </c>
      <c r="H102" s="85">
        <f>F102*$C$106/1000000</f>
        <v>8.8804999999999995E-3</v>
      </c>
      <c r="I102" s="85">
        <f>G102*$C$107/1000000</f>
        <v>5.0000000000000001E-3</v>
      </c>
      <c r="J102" s="85">
        <f>H102+I102</f>
        <v>1.38805E-2</v>
      </c>
      <c r="K102" s="59">
        <f>J102*$C$111</f>
        <v>2.442968</v>
      </c>
      <c r="L102" s="58">
        <v>0.2</v>
      </c>
      <c r="M102" s="58">
        <v>512</v>
      </c>
      <c r="N102" s="85">
        <f>IF(AND($C$112&gt;0,$C$112&gt;=M102),(($C$106-$C$112)*F102+$C$112*($C$113*L102+(1-$C$113)*F102*$C$114))/1000000+I102,J102)</f>
        <v>9.0524999999999998E-3</v>
      </c>
      <c r="O102" s="59">
        <f>N102*$C$111</f>
        <v>1.59324</v>
      </c>
    </row>
    <row r="103" spans="2:15" x14ac:dyDescent="0.35">
      <c r="B103" s="54" t="s">
        <v>233</v>
      </c>
      <c r="C103" s="55">
        <v>1500</v>
      </c>
      <c r="E103" s="23" t="s">
        <v>173</v>
      </c>
      <c r="F103" s="2">
        <v>4</v>
      </c>
      <c r="G103" s="2">
        <v>20</v>
      </c>
      <c r="H103" s="84">
        <f>F103*$C$106/1000000</f>
        <v>1.7760999999999999E-2</v>
      </c>
      <c r="I103" s="84">
        <f>G103*$C$107/1000000</f>
        <v>0.01</v>
      </c>
      <c r="J103" s="84">
        <f>H103+I103</f>
        <v>2.7761000000000001E-2</v>
      </c>
      <c r="K103" s="56">
        <f>J103*$C$111</f>
        <v>4.8859360000000001</v>
      </c>
      <c r="L103" s="2">
        <v>0.2</v>
      </c>
      <c r="M103" s="2">
        <v>512</v>
      </c>
      <c r="N103" s="84">
        <f>IF(AND($C$112&gt;0,$C$112&gt;=M103),(($C$106-$C$112)*F103+$C$112*($C$113*L103+(1-$C$113)*F103*$C$114))/1000000+I103,J103)</f>
        <v>1.7493000000000002E-2</v>
      </c>
      <c r="O103" s="56">
        <f>N103*$C$111</f>
        <v>3.0787680000000002</v>
      </c>
    </row>
    <row r="104" spans="2:15" ht="36" customHeight="1" x14ac:dyDescent="0.35">
      <c r="B104" s="54" t="s">
        <v>234</v>
      </c>
      <c r="C104" s="55">
        <v>660</v>
      </c>
    </row>
    <row r="105" spans="2:15" x14ac:dyDescent="0.35">
      <c r="B105" s="54" t="s">
        <v>175</v>
      </c>
      <c r="C105" s="55">
        <v>100</v>
      </c>
      <c r="E105" s="21" t="s">
        <v>176</v>
      </c>
      <c r="F105" s="21" t="s">
        <v>177</v>
      </c>
      <c r="O105" s="61">
        <f>O102</f>
        <v>1.59324</v>
      </c>
    </row>
    <row r="106" spans="2:15" x14ac:dyDescent="0.35">
      <c r="B106" s="62" t="s">
        <v>178</v>
      </c>
      <c r="C106" s="86">
        <f>SUM(C101:C105)</f>
        <v>4440.25</v>
      </c>
      <c r="E106" s="67" t="s">
        <v>179</v>
      </c>
      <c r="F106" s="89">
        <f>N102</f>
        <v>9.0524999999999998E-3</v>
      </c>
    </row>
    <row r="107" spans="2:15" x14ac:dyDescent="0.35">
      <c r="B107" s="62" t="s">
        <v>180</v>
      </c>
      <c r="C107" s="86">
        <v>500</v>
      </c>
    </row>
    <row r="108" spans="2:15" x14ac:dyDescent="0.35">
      <c r="B108" s="62" t="s">
        <v>181</v>
      </c>
      <c r="C108" s="86">
        <f>C106+C107</f>
        <v>4940.25</v>
      </c>
    </row>
    <row r="109" spans="2:15" x14ac:dyDescent="0.35">
      <c r="B109" s="62" t="s">
        <v>182</v>
      </c>
      <c r="C109" s="86">
        <f>'Volume Sizing'!$D$6*'Volume Sizing'!$D$28</f>
        <v>8</v>
      </c>
    </row>
    <row r="110" spans="2:15" x14ac:dyDescent="0.35">
      <c r="B110" s="62" t="s">
        <v>183</v>
      </c>
      <c r="C110" s="86">
        <f>'Volume Sizing'!$D$16</f>
        <v>22</v>
      </c>
    </row>
    <row r="111" spans="2:15" x14ac:dyDescent="0.35">
      <c r="B111" s="62" t="s">
        <v>184</v>
      </c>
      <c r="C111" s="86">
        <f>C109*C110</f>
        <v>176</v>
      </c>
    </row>
    <row r="112" spans="2:15" x14ac:dyDescent="0.35">
      <c r="B112" s="54" t="s">
        <v>185</v>
      </c>
      <c r="C112" s="88">
        <f>C102+C103+C105</f>
        <v>3400</v>
      </c>
    </row>
    <row r="113" spans="2:15" x14ac:dyDescent="0.35">
      <c r="B113" s="54" t="s">
        <v>186</v>
      </c>
      <c r="C113" s="65">
        <v>0.9</v>
      </c>
    </row>
    <row r="114" spans="2:15" x14ac:dyDescent="0.35">
      <c r="B114" s="54" t="s">
        <v>187</v>
      </c>
      <c r="C114" s="88">
        <v>2</v>
      </c>
    </row>
    <row r="115" spans="2:15" ht="61.95" customHeight="1" x14ac:dyDescent="0.35">
      <c r="B115" s="120" t="s">
        <v>235</v>
      </c>
      <c r="C115" s="121"/>
      <c r="D115" s="121"/>
      <c r="E115" s="121"/>
      <c r="F115" s="121"/>
      <c r="G115" s="121"/>
      <c r="H115" s="121"/>
      <c r="I115" s="121"/>
      <c r="J115" s="121"/>
      <c r="K115" s="121"/>
      <c r="L115" s="121"/>
      <c r="M115" s="121"/>
      <c r="N115" s="121"/>
      <c r="O115" s="121"/>
    </row>
    <row r="118" spans="2:15" x14ac:dyDescent="0.35">
      <c r="B118" s="123" t="s">
        <v>236</v>
      </c>
      <c r="C118" s="125"/>
    </row>
    <row r="119" spans="2:15" x14ac:dyDescent="0.35">
      <c r="B119" s="54" t="s">
        <v>237</v>
      </c>
      <c r="C119" s="55">
        <f>'Volume Sizing'!$D$6*'Volume Sizing'!$D$28*'Volume Sizing'!$D$16</f>
        <v>176</v>
      </c>
      <c r="E119" s="120" t="s">
        <v>238</v>
      </c>
      <c r="F119" s="121"/>
      <c r="G119" s="121"/>
      <c r="H119" s="121"/>
      <c r="I119" s="121"/>
      <c r="J119" s="121"/>
      <c r="K119" s="121"/>
      <c r="L119" s="121"/>
      <c r="M119" s="121"/>
      <c r="N119" s="121"/>
      <c r="O119" s="121"/>
    </row>
    <row r="120" spans="2:15" x14ac:dyDescent="0.35">
      <c r="B120" s="54" t="s">
        <v>239</v>
      </c>
      <c r="C120" s="55">
        <f>C119*'Volume Sizing'!$D$29</f>
        <v>264</v>
      </c>
      <c r="E120" s="121"/>
      <c r="F120" s="121"/>
      <c r="G120" s="121"/>
      <c r="H120" s="121"/>
      <c r="I120" s="121"/>
      <c r="J120" s="121"/>
      <c r="K120" s="121"/>
      <c r="L120" s="121"/>
      <c r="M120" s="121"/>
      <c r="N120" s="121"/>
      <c r="O120" s="121"/>
    </row>
    <row r="121" spans="2:15" x14ac:dyDescent="0.35">
      <c r="B121" s="54" t="s">
        <v>240</v>
      </c>
      <c r="C121" s="90">
        <v>3.0000000000000001E-3</v>
      </c>
      <c r="E121" s="121"/>
      <c r="F121" s="121"/>
      <c r="G121" s="121"/>
      <c r="H121" s="121"/>
      <c r="I121" s="121"/>
      <c r="J121" s="121"/>
      <c r="K121" s="121"/>
      <c r="L121" s="121"/>
      <c r="M121" s="121"/>
      <c r="N121" s="121"/>
      <c r="O121" s="121"/>
    </row>
    <row r="122" spans="2:15" x14ac:dyDescent="0.35">
      <c r="B122" s="54" t="s">
        <v>241</v>
      </c>
      <c r="C122" s="68">
        <f>C120*C121</f>
        <v>0.79200000000000004</v>
      </c>
      <c r="E122" s="121"/>
      <c r="F122" s="121"/>
      <c r="G122" s="121"/>
      <c r="H122" s="121"/>
      <c r="I122" s="121"/>
      <c r="J122" s="121"/>
      <c r="K122" s="121"/>
      <c r="L122" s="121"/>
      <c r="M122" s="121"/>
      <c r="N122" s="121"/>
      <c r="O122" s="121"/>
    </row>
    <row r="123" spans="2:15" x14ac:dyDescent="0.35">
      <c r="B123" s="54" t="s">
        <v>242</v>
      </c>
      <c r="C123" s="68">
        <f>Inference!$O$105</f>
        <v>1.59324</v>
      </c>
    </row>
    <row r="124" spans="2:15" x14ac:dyDescent="0.35">
      <c r="B124" s="62" t="s">
        <v>243</v>
      </c>
      <c r="C124" s="69">
        <f>C122+C123</f>
        <v>2.38524</v>
      </c>
    </row>
  </sheetData>
  <mergeCells count="20">
    <mergeCell ref="E119:O122"/>
    <mergeCell ref="E99:O99"/>
    <mergeCell ref="B99:C99"/>
    <mergeCell ref="E80:O80"/>
    <mergeCell ref="B118:C118"/>
    <mergeCell ref="B80:C80"/>
    <mergeCell ref="E4:O4"/>
    <mergeCell ref="B39:O39"/>
    <mergeCell ref="B77:O77"/>
    <mergeCell ref="B42:C42"/>
    <mergeCell ref="B23:C23"/>
    <mergeCell ref="B61:C61"/>
    <mergeCell ref="E61:O61"/>
    <mergeCell ref="B20:O20"/>
    <mergeCell ref="B4:C4"/>
    <mergeCell ref="E42:O42"/>
    <mergeCell ref="B115:O115"/>
    <mergeCell ref="E23:O23"/>
    <mergeCell ref="B96:O96"/>
    <mergeCell ref="B58:O58"/>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L34"/>
  <sheetViews>
    <sheetView workbookViewId="0">
      <pane xSplit="2" ySplit="13" topLeftCell="C14" activePane="bottomRight" state="frozen"/>
      <selection pane="topRight"/>
      <selection pane="bottomLeft"/>
      <selection pane="bottomRight"/>
    </sheetView>
  </sheetViews>
  <sheetFormatPr defaultRowHeight="18" x14ac:dyDescent="0.35"/>
  <cols>
    <col min="1" max="1" width="2" style="115" customWidth="1"/>
    <col min="2" max="2" width="58" style="115" customWidth="1"/>
    <col min="3" max="3" width="24" style="115" customWidth="1"/>
    <col min="4" max="6" width="14" style="115" customWidth="1"/>
    <col min="7" max="7" width="12" style="115" customWidth="1"/>
    <col min="8" max="9" width="14" style="115" customWidth="1"/>
    <col min="10" max="10" width="15" style="115" customWidth="1"/>
    <col min="11" max="11" width="16" style="115" customWidth="1"/>
    <col min="12" max="12" width="70" style="115" customWidth="1"/>
  </cols>
  <sheetData>
    <row r="2" spans="2:12" ht="19.8" customHeight="1" x14ac:dyDescent="0.35">
      <c r="B2" s="91" t="s">
        <v>244</v>
      </c>
    </row>
    <row r="3" spans="2:12" ht="40.049999999999997" customHeight="1" x14ac:dyDescent="0.35">
      <c r="B3" s="127" t="s">
        <v>245</v>
      </c>
      <c r="C3" s="121"/>
      <c r="D3" s="121"/>
      <c r="E3" s="121"/>
      <c r="F3" s="121"/>
      <c r="G3" s="121"/>
      <c r="H3" s="121"/>
      <c r="I3" s="121"/>
      <c r="J3" s="121"/>
      <c r="K3" s="121"/>
      <c r="L3" s="121"/>
    </row>
    <row r="5" spans="2:12" ht="36" customHeight="1" x14ac:dyDescent="0.35">
      <c r="B5" s="92" t="s">
        <v>246</v>
      </c>
      <c r="C5" s="92" t="s">
        <v>247</v>
      </c>
      <c r="D5" s="92" t="s">
        <v>248</v>
      </c>
      <c r="E5" s="92" t="s">
        <v>249</v>
      </c>
    </row>
    <row r="6" spans="2:12" ht="36" customHeight="1" x14ac:dyDescent="0.35">
      <c r="B6" s="93" t="s">
        <v>250</v>
      </c>
      <c r="C6" s="109">
        <v>7.4999999999999997E-2</v>
      </c>
      <c r="D6" s="109">
        <v>3.7499999999999999E-2</v>
      </c>
      <c r="E6" s="109">
        <v>0.3</v>
      </c>
      <c r="L6" s="116" t="s">
        <v>251</v>
      </c>
    </row>
    <row r="7" spans="2:12" ht="36" customHeight="1" x14ac:dyDescent="0.35">
      <c r="B7" s="93" t="s">
        <v>252</v>
      </c>
      <c r="C7" s="109">
        <v>0.15</v>
      </c>
      <c r="D7" s="109">
        <v>7.4999999999999997E-2</v>
      </c>
      <c r="E7" s="109">
        <v>0.6</v>
      </c>
      <c r="L7" s="116" t="s">
        <v>253</v>
      </c>
    </row>
    <row r="8" spans="2:12" x14ac:dyDescent="0.35">
      <c r="B8" s="93" t="s">
        <v>254</v>
      </c>
      <c r="C8" s="110">
        <v>0.04</v>
      </c>
    </row>
    <row r="10" spans="2:12" ht="36" customHeight="1" x14ac:dyDescent="0.35">
      <c r="B10" s="93" t="s">
        <v>255</v>
      </c>
      <c r="C10" s="94">
        <v>1.3</v>
      </c>
      <c r="L10" s="116" t="s">
        <v>256</v>
      </c>
    </row>
    <row r="11" spans="2:12" ht="36" customHeight="1" x14ac:dyDescent="0.35">
      <c r="B11" s="93" t="s">
        <v>257</v>
      </c>
      <c r="C11" s="95">
        <f>'Volume Sizing'!$D$20*$C$10+40</f>
        <v>231.45454545454547</v>
      </c>
    </row>
    <row r="13" spans="2:12" ht="54" customHeight="1" x14ac:dyDescent="0.35">
      <c r="B13" s="92" t="s">
        <v>258</v>
      </c>
      <c r="C13" s="92" t="s">
        <v>259</v>
      </c>
      <c r="D13" s="92" t="s">
        <v>4</v>
      </c>
      <c r="E13" s="92" t="s">
        <v>260</v>
      </c>
      <c r="F13" s="92" t="s">
        <v>261</v>
      </c>
      <c r="G13" s="92" t="s">
        <v>262</v>
      </c>
      <c r="H13" s="92" t="s">
        <v>263</v>
      </c>
      <c r="I13" s="92" t="s">
        <v>264</v>
      </c>
      <c r="J13" s="92" t="s">
        <v>265</v>
      </c>
      <c r="K13" s="92" t="s">
        <v>5</v>
      </c>
      <c r="L13" s="92" t="s">
        <v>6</v>
      </c>
    </row>
    <row r="14" spans="2:12" ht="75" customHeight="1" x14ac:dyDescent="0.35">
      <c r="B14" s="96" t="s">
        <v>266</v>
      </c>
      <c r="C14" s="97" t="s">
        <v>250</v>
      </c>
      <c r="D14" s="98">
        <f>'Volume Sizing'!$D$19</f>
        <v>1645.6</v>
      </c>
      <c r="E14" s="98">
        <f>$C$11+Inference!$C$26+Inference!$C$27+Inference!$C$28+Inference!$C$29</f>
        <v>1481.4545454545455</v>
      </c>
      <c r="F14" s="98">
        <f>Inference!$C$26+Inference!$C$28</f>
        <v>800</v>
      </c>
      <c r="G14" s="99">
        <v>0.9</v>
      </c>
      <c r="H14" s="98">
        <f>Inference!$C$31</f>
        <v>150</v>
      </c>
      <c r="I14" s="100">
        <v>300</v>
      </c>
      <c r="J14" s="111">
        <f t="shared" ref="J14:J19" si="0">(($E14-$F14*$G14)*VLOOKUP($C14,$B$6:$E$7,2,FALSE)+$F14*$G14*VLOOKUP($C14,$B$6:$E$7,3,FALSE)+($H14+$I14)*VLOOKUP($C14,$B$6:$E$7,4,FALSE))/1000000</f>
        <v>2.1910909090909093E-4</v>
      </c>
      <c r="K14" s="112">
        <f t="shared" ref="K14:K19" si="1">$J14*$D14</f>
        <v>0.36056592000000004</v>
      </c>
      <c r="L14" s="101" t="s">
        <v>267</v>
      </c>
    </row>
    <row r="15" spans="2:12" ht="75" customHeight="1" x14ac:dyDescent="0.35">
      <c r="B15" s="96" t="s">
        <v>268</v>
      </c>
      <c r="C15" s="97" t="s">
        <v>252</v>
      </c>
      <c r="D15" s="98">
        <f>'Volume Sizing'!$D$22</f>
        <v>658.24</v>
      </c>
      <c r="E15" s="98">
        <f>$C$11+Inference!$C$7+Inference!$C$8+Inference!$C$9+Inference!$C$10</f>
        <v>4291.454545454546</v>
      </c>
      <c r="F15" s="98">
        <f>Inference!$C$7+Inference!$C$8+Inference!$C$10</f>
        <v>3400</v>
      </c>
      <c r="G15" s="99">
        <v>0.9</v>
      </c>
      <c r="H15" s="98">
        <f>Inference!$C$12</f>
        <v>500</v>
      </c>
      <c r="I15" s="100">
        <v>800</v>
      </c>
      <c r="J15" s="111">
        <f t="shared" si="0"/>
        <v>1.1942181818181817E-3</v>
      </c>
      <c r="K15" s="112">
        <f t="shared" si="1"/>
        <v>0.78608217599999997</v>
      </c>
      <c r="L15" s="101" t="s">
        <v>269</v>
      </c>
    </row>
    <row r="16" spans="2:12" ht="75" customHeight="1" x14ac:dyDescent="0.35">
      <c r="B16" s="96" t="s">
        <v>270</v>
      </c>
      <c r="C16" s="97" t="s">
        <v>252</v>
      </c>
      <c r="D16" s="98">
        <f>'Volume Sizing'!$D$26</f>
        <v>88</v>
      </c>
      <c r="E16" s="98">
        <f>Inference!$C$49</f>
        <v>2600</v>
      </c>
      <c r="F16" s="98">
        <f>Inference!$C$45</f>
        <v>500</v>
      </c>
      <c r="G16" s="99">
        <v>0.5</v>
      </c>
      <c r="H16" s="98">
        <f>Inference!$C$50</f>
        <v>400</v>
      </c>
      <c r="I16" s="100">
        <v>400</v>
      </c>
      <c r="J16" s="111">
        <f t="shared" si="0"/>
        <v>8.5125000000000001E-4</v>
      </c>
      <c r="K16" s="112">
        <f t="shared" si="1"/>
        <v>7.4910000000000004E-2</v>
      </c>
      <c r="L16" s="101" t="s">
        <v>271</v>
      </c>
    </row>
    <row r="17" spans="2:12" ht="75" customHeight="1" x14ac:dyDescent="0.35">
      <c r="B17" s="96" t="s">
        <v>272</v>
      </c>
      <c r="C17" s="97" t="s">
        <v>252</v>
      </c>
      <c r="D17" s="98">
        <f>'Volume Sizing'!$D$27</f>
        <v>5</v>
      </c>
      <c r="E17" s="98">
        <f>Inference!$C$68</f>
        <v>16300</v>
      </c>
      <c r="F17" s="98">
        <f>Inference!$C$64</f>
        <v>1000</v>
      </c>
      <c r="G17" s="99">
        <v>0</v>
      </c>
      <c r="H17" s="98">
        <f>Inference!$C$69</f>
        <v>2500</v>
      </c>
      <c r="I17" s="100">
        <v>1500</v>
      </c>
      <c r="J17" s="111">
        <f t="shared" si="0"/>
        <v>4.8450000000000003E-3</v>
      </c>
      <c r="K17" s="112">
        <f t="shared" si="1"/>
        <v>2.4225000000000003E-2</v>
      </c>
      <c r="L17" s="101" t="s">
        <v>273</v>
      </c>
    </row>
    <row r="18" spans="2:12" ht="75" customHeight="1" x14ac:dyDescent="0.35">
      <c r="B18" s="96" t="s">
        <v>18</v>
      </c>
      <c r="C18" s="97" t="s">
        <v>252</v>
      </c>
      <c r="D18" s="98">
        <f>'Volume Sizing'!$D$25</f>
        <v>330</v>
      </c>
      <c r="E18" s="98">
        <f>3*$C$11+Inference!$C$83+Inference!$C$84+Inference!$C$85+Inference!$C$86</f>
        <v>2794.3636363636365</v>
      </c>
      <c r="F18" s="98">
        <f>Inference!$C$83</f>
        <v>1500</v>
      </c>
      <c r="G18" s="99">
        <v>0.7</v>
      </c>
      <c r="H18" s="98">
        <f>Inference!$C$88</f>
        <v>300</v>
      </c>
      <c r="I18" s="100">
        <v>500</v>
      </c>
      <c r="J18" s="111">
        <f t="shared" si="0"/>
        <v>8.2040454545454552E-4</v>
      </c>
      <c r="K18" s="112">
        <f t="shared" si="1"/>
        <v>0.27073350000000002</v>
      </c>
      <c r="L18" s="101" t="s">
        <v>274</v>
      </c>
    </row>
    <row r="19" spans="2:12" ht="75" customHeight="1" x14ac:dyDescent="0.35">
      <c r="B19" s="102" t="s">
        <v>275</v>
      </c>
      <c r="C19" s="97" t="s">
        <v>252</v>
      </c>
      <c r="D19" s="98">
        <f>Inference!$C$111</f>
        <v>176</v>
      </c>
      <c r="E19" s="98">
        <f>'Volume Sizing'!$D$29*150*$C$10+Inference!$C$102+Inference!$C$103+Inference!$C$104+Inference!$C$105</f>
        <v>4352.5</v>
      </c>
      <c r="F19" s="98">
        <f>Inference!$C$102+Inference!$C$103+Inference!$C$105</f>
        <v>3400</v>
      </c>
      <c r="G19" s="99">
        <v>0.9</v>
      </c>
      <c r="H19" s="98">
        <f>Inference!$C$107</f>
        <v>500</v>
      </c>
      <c r="I19" s="100">
        <v>800</v>
      </c>
      <c r="J19" s="111">
        <f t="shared" si="0"/>
        <v>1.203375E-3</v>
      </c>
      <c r="K19" s="113">
        <f t="shared" si="1"/>
        <v>0.21179400000000001</v>
      </c>
      <c r="L19" s="101" t="s">
        <v>276</v>
      </c>
    </row>
    <row r="21" spans="2:12" x14ac:dyDescent="0.35">
      <c r="B21" s="93" t="s">
        <v>277</v>
      </c>
      <c r="K21" s="114">
        <f>SUM(K14:K18)</f>
        <v>1.516516596</v>
      </c>
    </row>
    <row r="23" spans="2:12" x14ac:dyDescent="0.35">
      <c r="B23" s="93" t="s">
        <v>278</v>
      </c>
    </row>
    <row r="24" spans="2:12" x14ac:dyDescent="0.35">
      <c r="B24" s="79" t="s">
        <v>279</v>
      </c>
      <c r="K24" s="103">
        <f>Inference!$C$120</f>
        <v>264</v>
      </c>
    </row>
    <row r="25" spans="2:12" ht="36" customHeight="1" x14ac:dyDescent="0.35">
      <c r="B25" s="79" t="s">
        <v>280</v>
      </c>
      <c r="K25" s="110">
        <f>K24*$C$8/60</f>
        <v>0.17600000000000002</v>
      </c>
      <c r="L25" s="116" t="s">
        <v>281</v>
      </c>
    </row>
    <row r="26" spans="2:12" x14ac:dyDescent="0.35">
      <c r="B26" s="93" t="s">
        <v>282</v>
      </c>
      <c r="K26" s="114">
        <f>K19+K25</f>
        <v>0.38779400000000003</v>
      </c>
    </row>
    <row r="28" spans="2:12" x14ac:dyDescent="0.35">
      <c r="B28" s="93" t="s">
        <v>283</v>
      </c>
    </row>
    <row r="29" spans="2:12" ht="22.05" customHeight="1" x14ac:dyDescent="0.35">
      <c r="B29" s="79" t="s">
        <v>284</v>
      </c>
      <c r="K29" s="110">
        <f>K21-K14+D14*((E14-F14*G14)*$C$7+F14*G14*$D$7+(H14+I14)*$E$7)/1000000</f>
        <v>1.877082516</v>
      </c>
    </row>
    <row r="30" spans="2:12" ht="22.05" customHeight="1" x14ac:dyDescent="0.35">
      <c r="B30" s="79" t="s">
        <v>285</v>
      </c>
      <c r="K30" s="110">
        <f>K21-K15+J15*'Volume Sizing'!$D$19</f>
        <v>2.69563986</v>
      </c>
    </row>
    <row r="31" spans="2:12" ht="22.05" customHeight="1" x14ac:dyDescent="0.35">
      <c r="B31" s="79" t="s">
        <v>54</v>
      </c>
      <c r="K31" s="110">
        <f>K21+3*($C$11*(D14*$C$6+D15*$C$7+D18*3*$C$7))/1000000</f>
        <v>1.7738866440000001</v>
      </c>
    </row>
    <row r="32" spans="2:12" ht="22.05" customHeight="1" x14ac:dyDescent="0.35">
      <c r="B32" s="79" t="s">
        <v>286</v>
      </c>
      <c r="K32" s="110">
        <f>Inference!$O$29+Inference!$O$10+Inference!$O$48+Inference!$O$67+Inference!$O$86</f>
        <v>12.572748064000001</v>
      </c>
    </row>
    <row r="34" spans="2:12" ht="60" customHeight="1" x14ac:dyDescent="0.35">
      <c r="B34" s="127" t="s">
        <v>287</v>
      </c>
      <c r="C34" s="121"/>
      <c r="D34" s="121"/>
      <c r="E34" s="121"/>
      <c r="F34" s="121"/>
      <c r="G34" s="121"/>
      <c r="H34" s="121"/>
      <c r="I34" s="121"/>
      <c r="J34" s="121"/>
      <c r="K34" s="121"/>
      <c r="L34" s="121"/>
    </row>
  </sheetData>
  <mergeCells count="2">
    <mergeCell ref="B34:L34"/>
    <mergeCell ref="B3:L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C2:J32"/>
  <sheetViews>
    <sheetView zoomScaleNormal="100" workbookViewId="0">
      <selection activeCell="A3" sqref="A3"/>
    </sheetView>
  </sheetViews>
  <sheetFormatPr defaultColWidth="11.1640625" defaultRowHeight="18" x14ac:dyDescent="0.35"/>
  <cols>
    <col min="3" max="3" width="36" style="115" bestFit="1" customWidth="1"/>
    <col min="4" max="4" width="18" style="115" customWidth="1"/>
    <col min="6" max="6" width="28" style="115" bestFit="1" customWidth="1"/>
    <col min="7" max="7" width="15" style="115" customWidth="1"/>
    <col min="9" max="9" width="30" style="115" customWidth="1"/>
    <col min="10" max="10" width="14.9140625" style="115" customWidth="1"/>
  </cols>
  <sheetData>
    <row r="2" spans="3:10" ht="20.100000000000001" customHeight="1" thickBot="1" x14ac:dyDescent="0.4">
      <c r="C2" s="104" t="s">
        <v>288</v>
      </c>
    </row>
    <row r="3" spans="3:10" ht="24.9" customHeight="1" thickBot="1" x14ac:dyDescent="0.4">
      <c r="C3" s="18" t="s">
        <v>289</v>
      </c>
      <c r="D3" s="19">
        <v>1.3</v>
      </c>
    </row>
    <row r="4" spans="3:10" ht="20.100000000000001" customHeight="1" thickBot="1" x14ac:dyDescent="0.4"/>
    <row r="5" spans="3:10" ht="20.100000000000001" customHeight="1" x14ac:dyDescent="0.35">
      <c r="C5" s="128" t="s">
        <v>290</v>
      </c>
      <c r="D5" s="129"/>
      <c r="F5" s="130" t="s">
        <v>291</v>
      </c>
      <c r="G5" s="129"/>
      <c r="I5" s="130" t="s">
        <v>292</v>
      </c>
      <c r="J5" s="129"/>
    </row>
    <row r="6" spans="3:10" ht="20.100000000000001" customHeight="1" x14ac:dyDescent="0.35">
      <c r="C6" s="3" t="s">
        <v>293</v>
      </c>
      <c r="D6" s="4" t="s">
        <v>91</v>
      </c>
      <c r="F6" s="3" t="s">
        <v>293</v>
      </c>
      <c r="G6" s="4" t="s">
        <v>91</v>
      </c>
      <c r="I6" s="3" t="s">
        <v>293</v>
      </c>
      <c r="J6" s="4" t="s">
        <v>91</v>
      </c>
    </row>
    <row r="7" spans="3:10" x14ac:dyDescent="0.35">
      <c r="C7" s="5" t="s">
        <v>294</v>
      </c>
      <c r="D7" s="70">
        <f>'Volume Sizing'!$D$17</f>
        <v>1496</v>
      </c>
      <c r="F7" s="8" t="s">
        <v>295</v>
      </c>
      <c r="G7" s="71">
        <f>'Volume Sizing'!$D$18</f>
        <v>149.6</v>
      </c>
      <c r="I7" s="10" t="s">
        <v>296</v>
      </c>
      <c r="J7" s="70">
        <f>'Volume Sizing'!$D$7+'Volume Sizing'!$D$22*2.5</f>
        <v>1845.6</v>
      </c>
    </row>
    <row r="8" spans="3:10" ht="20.100000000000001" customHeight="1" x14ac:dyDescent="0.35">
      <c r="C8" s="5" t="s">
        <v>297</v>
      </c>
      <c r="D8" s="6">
        <f>'Volume Sizing'!$D$9</f>
        <v>150</v>
      </c>
      <c r="F8" s="8" t="s">
        <v>298</v>
      </c>
      <c r="G8" s="9">
        <f>'Volume Sizing'!$D$11</f>
        <v>120</v>
      </c>
      <c r="I8" s="11" t="s">
        <v>299</v>
      </c>
      <c r="J8" s="6">
        <v>40</v>
      </c>
    </row>
    <row r="9" spans="3:10" x14ac:dyDescent="0.35">
      <c r="C9" s="5" t="s">
        <v>300</v>
      </c>
      <c r="D9" s="70">
        <f>D7*D8</f>
        <v>224400</v>
      </c>
      <c r="F9" s="8" t="s">
        <v>300</v>
      </c>
      <c r="G9" s="71">
        <f>G8*G7</f>
        <v>17952</v>
      </c>
      <c r="I9" s="10" t="s">
        <v>300</v>
      </c>
      <c r="J9" s="70">
        <f>J8*J7</f>
        <v>73824</v>
      </c>
    </row>
    <row r="10" spans="3:10" ht="20.100000000000001" customHeight="1" thickBot="1" x14ac:dyDescent="0.4">
      <c r="C10" s="7" t="s">
        <v>301</v>
      </c>
      <c r="D10" s="72">
        <f>D9*D3</f>
        <v>291720</v>
      </c>
      <c r="F10" s="7" t="s">
        <v>302</v>
      </c>
      <c r="G10" s="72">
        <f>G9*D3</f>
        <v>23337.600000000002</v>
      </c>
      <c r="I10" s="7" t="s">
        <v>302</v>
      </c>
      <c r="J10" s="72">
        <f>J9*D3</f>
        <v>95971.199999999997</v>
      </c>
    </row>
    <row r="12" spans="3:10" ht="20.100000000000001" customHeight="1" thickBot="1" x14ac:dyDescent="0.4"/>
    <row r="13" spans="3:10" x14ac:dyDescent="0.35">
      <c r="C13" s="128" t="s">
        <v>303</v>
      </c>
      <c r="D13" s="129"/>
    </row>
    <row r="14" spans="3:10" ht="20.100000000000001" customHeight="1" x14ac:dyDescent="0.35">
      <c r="C14" s="3" t="s">
        <v>293</v>
      </c>
      <c r="D14" s="4" t="s">
        <v>304</v>
      </c>
    </row>
    <row r="15" spans="3:10" x14ac:dyDescent="0.35">
      <c r="C15" s="5" t="s">
        <v>305</v>
      </c>
      <c r="D15" s="70">
        <f>D10+G10+J10</f>
        <v>411028.8</v>
      </c>
    </row>
    <row r="16" spans="3:10" x14ac:dyDescent="0.35">
      <c r="C16" s="5" t="s">
        <v>306</v>
      </c>
      <c r="D16" s="6">
        <v>0.02</v>
      </c>
    </row>
    <row r="17" spans="3:10" ht="20.100000000000001" customHeight="1" thickBot="1" x14ac:dyDescent="0.4">
      <c r="C17" s="12" t="s">
        <v>307</v>
      </c>
      <c r="D17" s="105">
        <f>D15*D16/1000000</f>
        <v>8.2205759999999985E-3</v>
      </c>
    </row>
    <row r="19" spans="3:10" ht="20.100000000000001" customHeight="1" thickBot="1" x14ac:dyDescent="0.4"/>
    <row r="20" spans="3:10" x14ac:dyDescent="0.35">
      <c r="C20" s="128" t="s">
        <v>308</v>
      </c>
      <c r="D20" s="129"/>
    </row>
    <row r="21" spans="3:10" ht="20.100000000000001" customHeight="1" x14ac:dyDescent="0.35">
      <c r="C21" s="3" t="s">
        <v>293</v>
      </c>
      <c r="D21" s="4" t="s">
        <v>304</v>
      </c>
    </row>
    <row r="22" spans="3:10" x14ac:dyDescent="0.35">
      <c r="C22" s="5" t="s">
        <v>309</v>
      </c>
      <c r="D22" s="13">
        <v>60</v>
      </c>
    </row>
    <row r="23" spans="3:10" x14ac:dyDescent="0.35">
      <c r="C23" s="5" t="s">
        <v>310</v>
      </c>
      <c r="D23" s="70">
        <f>'Volume Sizing'!$D$19+'Volume Sizing'!$D$25</f>
        <v>1975.6</v>
      </c>
    </row>
    <row r="24" spans="3:10" x14ac:dyDescent="0.35">
      <c r="C24" s="5" t="s">
        <v>311</v>
      </c>
      <c r="D24" s="70">
        <f>D23*D22</f>
        <v>118536</v>
      </c>
    </row>
    <row r="25" spans="3:10" x14ac:dyDescent="0.35">
      <c r="C25" s="14" t="s">
        <v>306</v>
      </c>
      <c r="D25" s="15">
        <v>0.02</v>
      </c>
    </row>
    <row r="26" spans="3:10" ht="20.100000000000001" customHeight="1" thickBot="1" x14ac:dyDescent="0.4">
      <c r="C26" s="16" t="s">
        <v>312</v>
      </c>
      <c r="D26" s="105">
        <f>D24*D25/1000000</f>
        <v>2.3707200000000002E-3</v>
      </c>
    </row>
    <row r="28" spans="3:10" ht="20.100000000000001" customHeight="1" thickBot="1" x14ac:dyDescent="0.4"/>
    <row r="29" spans="3:10" ht="20.100000000000001" customHeight="1" thickBot="1" x14ac:dyDescent="0.4">
      <c r="C29" s="17" t="s">
        <v>313</v>
      </c>
      <c r="D29" s="106">
        <f>D17+D26</f>
        <v>1.0591295999999998E-2</v>
      </c>
    </row>
    <row r="31" spans="3:10" ht="60" customHeight="1" x14ac:dyDescent="0.35">
      <c r="C31" s="120" t="s">
        <v>314</v>
      </c>
      <c r="D31" s="121"/>
      <c r="E31" s="121"/>
      <c r="F31" s="121"/>
      <c r="G31" s="121"/>
      <c r="H31" s="121"/>
      <c r="I31" s="121"/>
      <c r="J31" s="121"/>
    </row>
    <row r="32" spans="3:10" ht="60" customHeight="1" x14ac:dyDescent="0.35">
      <c r="C32" s="120" t="s">
        <v>315</v>
      </c>
      <c r="D32" s="121"/>
      <c r="E32" s="121"/>
      <c r="F32" s="121"/>
      <c r="G32" s="121"/>
      <c r="H32" s="121"/>
      <c r="I32" s="121"/>
      <c r="J32" s="121"/>
    </row>
  </sheetData>
  <mergeCells count="7">
    <mergeCell ref="C20:D20"/>
    <mergeCell ref="C32:J32"/>
    <mergeCell ref="C5:D5"/>
    <mergeCell ref="F5:G5"/>
    <mergeCell ref="I5:J5"/>
    <mergeCell ref="C13:D13"/>
    <mergeCell ref="C31:J31"/>
  </mergeCells>
  <pageMargins left="0.7" right="0.7" top="0.75" bottom="0.75" header="0.3" footer="0.3"/>
  <tableParts count="5">
    <tablePart r:id="rId1"/>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10"/>
  <sheetViews>
    <sheetView workbookViewId="0"/>
  </sheetViews>
  <sheetFormatPr defaultRowHeight="18" x14ac:dyDescent="0.35"/>
  <cols>
    <col min="1" max="1" width="2" style="115" customWidth="1"/>
    <col min="2" max="2" width="34" style="115" customWidth="1"/>
    <col min="3" max="4" width="16" style="115" customWidth="1"/>
    <col min="5" max="5" width="95" style="115" customWidth="1"/>
  </cols>
  <sheetData>
    <row r="2" spans="2:5" x14ac:dyDescent="0.35">
      <c r="B2" s="46" t="s">
        <v>316</v>
      </c>
    </row>
    <row r="4" spans="2:5" ht="36" customHeight="1" x14ac:dyDescent="0.35">
      <c r="B4" s="33" t="s">
        <v>317</v>
      </c>
      <c r="C4" s="33" t="s">
        <v>318</v>
      </c>
      <c r="D4" s="33" t="s">
        <v>319</v>
      </c>
      <c r="E4" s="33" t="s">
        <v>320</v>
      </c>
    </row>
    <row r="5" spans="2:5" ht="48" customHeight="1" x14ac:dyDescent="0.35">
      <c r="B5" s="108" t="s">
        <v>321</v>
      </c>
      <c r="C5" s="35">
        <v>0</v>
      </c>
      <c r="D5" s="35">
        <v>20</v>
      </c>
      <c r="E5" s="108" t="s">
        <v>322</v>
      </c>
    </row>
    <row r="6" spans="2:5" ht="48" customHeight="1" x14ac:dyDescent="0.35">
      <c r="B6" s="108" t="s">
        <v>323</v>
      </c>
      <c r="C6" s="35">
        <v>0</v>
      </c>
      <c r="D6" s="35">
        <v>25</v>
      </c>
      <c r="E6" s="108" t="s">
        <v>324</v>
      </c>
    </row>
    <row r="7" spans="2:5" ht="48" customHeight="1" x14ac:dyDescent="0.35">
      <c r="B7" s="108" t="s">
        <v>325</v>
      </c>
      <c r="C7" s="35">
        <v>0</v>
      </c>
      <c r="D7" s="35">
        <v>0</v>
      </c>
      <c r="E7" s="108" t="s">
        <v>326</v>
      </c>
    </row>
    <row r="8" spans="2:5" ht="48" customHeight="1" x14ac:dyDescent="0.35">
      <c r="B8" s="108" t="s">
        <v>327</v>
      </c>
      <c r="C8" s="35">
        <v>0</v>
      </c>
      <c r="D8" s="35">
        <v>0</v>
      </c>
      <c r="E8" s="108" t="s">
        <v>328</v>
      </c>
    </row>
    <row r="9" spans="2:5" ht="48" customHeight="1" x14ac:dyDescent="0.35">
      <c r="B9" s="108" t="s">
        <v>329</v>
      </c>
      <c r="C9" s="35">
        <v>0</v>
      </c>
      <c r="D9" s="35">
        <v>0</v>
      </c>
      <c r="E9" s="108" t="s">
        <v>330</v>
      </c>
    </row>
    <row r="10" spans="2:5" x14ac:dyDescent="0.35">
      <c r="B10" s="36" t="s">
        <v>331</v>
      </c>
      <c r="C10" s="39">
        <f>SUM(C5:C9)</f>
        <v>0</v>
      </c>
      <c r="D10" s="39">
        <f>SUM(D5:D9)</f>
        <v>45</v>
      </c>
      <c r="E10" s="37" t="s">
        <v>332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D3:F37"/>
  <sheetViews>
    <sheetView zoomScaleNormal="100" workbookViewId="0">
      <selection activeCell="A35" sqref="A35"/>
    </sheetView>
  </sheetViews>
  <sheetFormatPr defaultColWidth="11.1640625" defaultRowHeight="18" x14ac:dyDescent="0.35"/>
  <cols>
    <col min="4" max="4" width="58" style="115" customWidth="1"/>
    <col min="5" max="5" width="16" style="115" customWidth="1"/>
    <col min="6" max="6" width="80" style="115" customWidth="1"/>
  </cols>
  <sheetData>
    <row r="3" spans="4:6" x14ac:dyDescent="0.35">
      <c r="D3" s="131" t="s">
        <v>333</v>
      </c>
      <c r="E3" s="121"/>
    </row>
    <row r="4" spans="4:6" x14ac:dyDescent="0.35">
      <c r="D4" s="1" t="s">
        <v>293</v>
      </c>
      <c r="E4" s="1" t="s">
        <v>91</v>
      </c>
    </row>
    <row r="5" spans="4:6" x14ac:dyDescent="0.35">
      <c r="D5" s="1" t="s">
        <v>334</v>
      </c>
      <c r="E5" s="73">
        <f>'Volume Sizing'!$D$19/'Volume Sizing'!$D$16</f>
        <v>74.8</v>
      </c>
    </row>
    <row r="6" spans="4:6" x14ac:dyDescent="0.35">
      <c r="D6" s="1" t="s">
        <v>335</v>
      </c>
      <c r="E6" s="1">
        <v>90</v>
      </c>
      <c r="F6" t="s">
        <v>336</v>
      </c>
    </row>
    <row r="7" spans="4:6" x14ac:dyDescent="0.35">
      <c r="D7" s="1" t="s">
        <v>126</v>
      </c>
      <c r="E7" s="1">
        <f>'Volume Sizing'!$D$16</f>
        <v>22</v>
      </c>
    </row>
    <row r="8" spans="4:6" x14ac:dyDescent="0.35">
      <c r="D8" s="1" t="s">
        <v>337</v>
      </c>
      <c r="E8" s="1">
        <f>E6*E7</f>
        <v>1980</v>
      </c>
    </row>
    <row r="9" spans="4:6" x14ac:dyDescent="0.35">
      <c r="D9" s="1" t="s">
        <v>338</v>
      </c>
      <c r="E9" s="1">
        <f>'Volume Sizing'!$D$19</f>
        <v>1645.6</v>
      </c>
    </row>
    <row r="10" spans="4:6" x14ac:dyDescent="0.35">
      <c r="D10" s="1" t="s">
        <v>339</v>
      </c>
      <c r="E10" s="74">
        <f>E9/E8</f>
        <v>0.83111111111111102</v>
      </c>
    </row>
    <row r="13" spans="4:6" x14ac:dyDescent="0.35">
      <c r="D13" s="131" t="s">
        <v>340</v>
      </c>
      <c r="E13" s="121"/>
    </row>
    <row r="14" spans="4:6" x14ac:dyDescent="0.35">
      <c r="D14" s="22" t="s">
        <v>293</v>
      </c>
      <c r="E14" s="30" t="s">
        <v>92</v>
      </c>
    </row>
    <row r="15" spans="4:6" x14ac:dyDescent="0.35">
      <c r="D15" s="23" t="s">
        <v>341</v>
      </c>
      <c r="E15" s="75">
        <v>450</v>
      </c>
      <c r="F15" t="s">
        <v>342</v>
      </c>
    </row>
    <row r="16" spans="4:6" x14ac:dyDescent="0.35">
      <c r="D16" s="23" t="s">
        <v>343</v>
      </c>
      <c r="E16" s="56">
        <v>100</v>
      </c>
    </row>
    <row r="17" spans="4:6" x14ac:dyDescent="0.35">
      <c r="D17" s="31" t="s">
        <v>344</v>
      </c>
      <c r="E17" s="76">
        <f>E15+E16</f>
        <v>550</v>
      </c>
    </row>
    <row r="19" spans="4:6" x14ac:dyDescent="0.35">
      <c r="D19" s="117" t="s">
        <v>345</v>
      </c>
      <c r="E19" s="77">
        <f>E17*E10</f>
        <v>457.11111111111109</v>
      </c>
      <c r="F19" t="s">
        <v>346</v>
      </c>
    </row>
    <row r="22" spans="4:6" ht="20.100000000000001" customHeight="1" x14ac:dyDescent="0.35">
      <c r="D22" s="132" t="s">
        <v>347</v>
      </c>
      <c r="E22" s="121"/>
    </row>
    <row r="23" spans="4:6" x14ac:dyDescent="0.35">
      <c r="D23" s="22" t="s">
        <v>293</v>
      </c>
      <c r="E23" s="30" t="s">
        <v>92</v>
      </c>
    </row>
    <row r="24" spans="4:6" x14ac:dyDescent="0.35">
      <c r="D24" s="24" t="s">
        <v>348</v>
      </c>
      <c r="E24" s="60">
        <f>SUM(Summary!E6:E10)+Summary!E12</f>
        <v>1.8956457449999999</v>
      </c>
    </row>
    <row r="25" spans="4:6" x14ac:dyDescent="0.35">
      <c r="D25" s="26" t="s">
        <v>349</v>
      </c>
      <c r="E25" s="64">
        <f>Summary!E11</f>
        <v>0</v>
      </c>
    </row>
    <row r="26" spans="4:6" x14ac:dyDescent="0.35">
      <c r="D26" s="26" t="s">
        <v>350</v>
      </c>
      <c r="E26" s="64">
        <f>Infrastructure!$D$10</f>
        <v>45</v>
      </c>
    </row>
    <row r="27" spans="4:6" x14ac:dyDescent="0.35">
      <c r="D27" s="117" t="s">
        <v>351</v>
      </c>
      <c r="E27" s="77">
        <f>E24+E25+E26</f>
        <v>46.895645745000003</v>
      </c>
    </row>
    <row r="28" spans="4:6" x14ac:dyDescent="0.35">
      <c r="D28" s="26" t="s">
        <v>352</v>
      </c>
      <c r="E28" s="64">
        <f>E27/'Volume Sizing'!$D$6</f>
        <v>11.723911436250001</v>
      </c>
    </row>
    <row r="30" spans="4:6" x14ac:dyDescent="0.35">
      <c r="D30" s="28" t="s">
        <v>353</v>
      </c>
      <c r="E30" s="78">
        <f>E19-E27</f>
        <v>410.21546536611106</v>
      </c>
      <c r="F30" t="s">
        <v>354</v>
      </c>
    </row>
    <row r="31" spans="4:6" x14ac:dyDescent="0.35">
      <c r="D31" s="28" t="s">
        <v>355</v>
      </c>
      <c r="E31" s="29">
        <f>E30/E19</f>
        <v>0.89740865053354391</v>
      </c>
    </row>
    <row r="34" spans="4:6" x14ac:dyDescent="0.35">
      <c r="D34" s="45" t="s">
        <v>356</v>
      </c>
    </row>
    <row r="35" spans="4:6" ht="34.049999999999997" customHeight="1" x14ac:dyDescent="0.35">
      <c r="D35" s="43" t="s">
        <v>357</v>
      </c>
      <c r="E35" s="118" t="s">
        <v>358</v>
      </c>
      <c r="F35" s="119"/>
    </row>
    <row r="36" spans="4:6" ht="34.049999999999997" customHeight="1" x14ac:dyDescent="0.35">
      <c r="D36" s="43" t="s">
        <v>359</v>
      </c>
      <c r="E36" s="118" t="s">
        <v>360</v>
      </c>
      <c r="F36" s="119"/>
    </row>
    <row r="37" spans="4:6" ht="34.049999999999997" customHeight="1" x14ac:dyDescent="0.35">
      <c r="D37" s="43" t="s">
        <v>361</v>
      </c>
      <c r="E37" s="118" t="s">
        <v>362</v>
      </c>
      <c r="F37" s="119"/>
    </row>
  </sheetData>
  <mergeCells count="6">
    <mergeCell ref="D3:E3"/>
    <mergeCell ref="E35:F35"/>
    <mergeCell ref="D13:E13"/>
    <mergeCell ref="E37:F37"/>
    <mergeCell ref="E36:F36"/>
    <mergeCell ref="D22:E22"/>
  </mergeCells>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D33"/>
  <sheetViews>
    <sheetView workbookViewId="0"/>
  </sheetViews>
  <sheetFormatPr defaultRowHeight="18" x14ac:dyDescent="0.35"/>
  <cols>
    <col min="1" max="1" width="2" style="115" customWidth="1"/>
    <col min="2" max="2" width="40" style="115" customWidth="1"/>
    <col min="3" max="3" width="70" style="115" customWidth="1"/>
    <col min="4" max="4" width="60" style="115" customWidth="1"/>
  </cols>
  <sheetData>
    <row r="2" spans="2:4" x14ac:dyDescent="0.35">
      <c r="B2" s="46" t="s">
        <v>363</v>
      </c>
    </row>
    <row r="4" spans="2:4" x14ac:dyDescent="0.35">
      <c r="B4" s="33" t="s">
        <v>364</v>
      </c>
      <c r="C4" s="33" t="s">
        <v>365</v>
      </c>
      <c r="D4" s="33" t="s">
        <v>366</v>
      </c>
    </row>
    <row r="5" spans="2:4" ht="30" customHeight="1" x14ac:dyDescent="0.35">
      <c r="B5" s="108" t="s">
        <v>367</v>
      </c>
      <c r="C5" s="108" t="s">
        <v>368</v>
      </c>
      <c r="D5" s="108" t="s">
        <v>369</v>
      </c>
    </row>
    <row r="6" spans="2:4" ht="30" customHeight="1" x14ac:dyDescent="0.35">
      <c r="B6" s="108" t="s">
        <v>370</v>
      </c>
      <c r="C6" s="108" t="s">
        <v>371</v>
      </c>
      <c r="D6" s="108" t="s">
        <v>369</v>
      </c>
    </row>
    <row r="7" spans="2:4" ht="30" customHeight="1" x14ac:dyDescent="0.35">
      <c r="B7" s="108" t="s">
        <v>372</v>
      </c>
      <c r="C7" s="108" t="s">
        <v>373</v>
      </c>
      <c r="D7" s="108" t="s">
        <v>369</v>
      </c>
    </row>
    <row r="8" spans="2:4" ht="30" customHeight="1" x14ac:dyDescent="0.35">
      <c r="B8" s="108" t="s">
        <v>374</v>
      </c>
      <c r="C8" s="108" t="s">
        <v>375</v>
      </c>
      <c r="D8" s="108" t="s">
        <v>376</v>
      </c>
    </row>
    <row r="9" spans="2:4" ht="30" customHeight="1" x14ac:dyDescent="0.35">
      <c r="B9" s="108" t="s">
        <v>377</v>
      </c>
      <c r="C9" s="108" t="s">
        <v>378</v>
      </c>
      <c r="D9" s="108" t="s">
        <v>379</v>
      </c>
    </row>
    <row r="10" spans="2:4" ht="30" customHeight="1" x14ac:dyDescent="0.35">
      <c r="B10" s="108" t="s">
        <v>380</v>
      </c>
      <c r="C10" s="108" t="s">
        <v>381</v>
      </c>
      <c r="D10" s="108" t="s">
        <v>369</v>
      </c>
    </row>
    <row r="11" spans="2:4" ht="30" customHeight="1" x14ac:dyDescent="0.35">
      <c r="B11" s="108" t="s">
        <v>382</v>
      </c>
      <c r="C11" s="108" t="s">
        <v>383</v>
      </c>
      <c r="D11" s="108" t="s">
        <v>384</v>
      </c>
    </row>
    <row r="12" spans="2:4" ht="30" customHeight="1" x14ac:dyDescent="0.35">
      <c r="B12" s="108" t="s">
        <v>385</v>
      </c>
      <c r="C12" s="108" t="s">
        <v>386</v>
      </c>
      <c r="D12" s="108" t="s">
        <v>387</v>
      </c>
    </row>
    <row r="13" spans="2:4" ht="30" customHeight="1" x14ac:dyDescent="0.35">
      <c r="B13" s="108" t="s">
        <v>388</v>
      </c>
      <c r="C13" s="108" t="s">
        <v>389</v>
      </c>
      <c r="D13" s="108" t="s">
        <v>390</v>
      </c>
    </row>
    <row r="14" spans="2:4" ht="30" customHeight="1" x14ac:dyDescent="0.35">
      <c r="B14" s="108" t="s">
        <v>391</v>
      </c>
      <c r="C14" s="108" t="s">
        <v>392</v>
      </c>
      <c r="D14" s="108" t="s">
        <v>393</v>
      </c>
    </row>
    <row r="17" spans="2:4" x14ac:dyDescent="0.35">
      <c r="B17" s="45" t="s">
        <v>394</v>
      </c>
    </row>
    <row r="18" spans="2:4" ht="46.05" customHeight="1" x14ac:dyDescent="0.35">
      <c r="B18" s="43" t="s">
        <v>395</v>
      </c>
      <c r="C18" s="118" t="s">
        <v>396</v>
      </c>
      <c r="D18" s="119"/>
    </row>
    <row r="19" spans="2:4" ht="46.05" customHeight="1" x14ac:dyDescent="0.35">
      <c r="B19" s="43" t="s">
        <v>397</v>
      </c>
      <c r="C19" s="118" t="s">
        <v>398</v>
      </c>
      <c r="D19" s="119"/>
    </row>
    <row r="20" spans="2:4" ht="46.05" customHeight="1" x14ac:dyDescent="0.35">
      <c r="B20" s="43" t="s">
        <v>399</v>
      </c>
      <c r="C20" s="118" t="s">
        <v>400</v>
      </c>
      <c r="D20" s="119"/>
    </row>
    <row r="21" spans="2:4" ht="46.05" customHeight="1" x14ac:dyDescent="0.35">
      <c r="B21" s="43" t="s">
        <v>401</v>
      </c>
      <c r="C21" s="118" t="s">
        <v>402</v>
      </c>
      <c r="D21" s="119"/>
    </row>
    <row r="22" spans="2:4" ht="46.05" customHeight="1" x14ac:dyDescent="0.35">
      <c r="B22" s="43" t="s">
        <v>403</v>
      </c>
      <c r="C22" s="118" t="s">
        <v>404</v>
      </c>
      <c r="D22" s="119"/>
    </row>
    <row r="23" spans="2:4" ht="46.05" customHeight="1" x14ac:dyDescent="0.35">
      <c r="B23" s="43" t="s">
        <v>405</v>
      </c>
      <c r="C23" s="118" t="s">
        <v>406</v>
      </c>
      <c r="D23" s="119"/>
    </row>
    <row r="24" spans="2:4" ht="46.05" customHeight="1" x14ac:dyDescent="0.35">
      <c r="B24" s="43" t="s">
        <v>407</v>
      </c>
      <c r="C24" s="118" t="s">
        <v>408</v>
      </c>
      <c r="D24" s="119"/>
    </row>
    <row r="26" spans="2:4" x14ac:dyDescent="0.35">
      <c r="B26" s="93" t="s">
        <v>409</v>
      </c>
      <c r="C26" s="107"/>
      <c r="D26" s="107"/>
    </row>
    <row r="27" spans="2:4" x14ac:dyDescent="0.35">
      <c r="B27" s="79" t="s">
        <v>410</v>
      </c>
      <c r="C27" s="79" t="s">
        <v>411</v>
      </c>
      <c r="D27" s="79" t="s">
        <v>412</v>
      </c>
    </row>
    <row r="28" spans="2:4" x14ac:dyDescent="0.35">
      <c r="B28" s="79" t="s">
        <v>413</v>
      </c>
      <c r="C28" s="79" t="s">
        <v>414</v>
      </c>
      <c r="D28" s="79" t="s">
        <v>415</v>
      </c>
    </row>
    <row r="29" spans="2:4" ht="36" customHeight="1" x14ac:dyDescent="0.35">
      <c r="B29" s="79" t="s">
        <v>416</v>
      </c>
      <c r="C29" s="79" t="s">
        <v>417</v>
      </c>
      <c r="D29" s="79" t="s">
        <v>418</v>
      </c>
    </row>
    <row r="30" spans="2:4" ht="36" customHeight="1" x14ac:dyDescent="0.35">
      <c r="B30" s="79" t="s">
        <v>419</v>
      </c>
      <c r="C30" s="79" t="s">
        <v>420</v>
      </c>
      <c r="D30" s="79" t="s">
        <v>421</v>
      </c>
    </row>
    <row r="31" spans="2:4" ht="36" customHeight="1" x14ac:dyDescent="0.35">
      <c r="B31" s="79" t="s">
        <v>422</v>
      </c>
      <c r="C31" s="79" t="s">
        <v>423</v>
      </c>
      <c r="D31" s="79" t="s">
        <v>424</v>
      </c>
    </row>
    <row r="32" spans="2:4" x14ac:dyDescent="0.35">
      <c r="B32" s="79" t="s">
        <v>425</v>
      </c>
      <c r="C32" s="79" t="s">
        <v>426</v>
      </c>
      <c r="D32" s="79" t="s">
        <v>427</v>
      </c>
    </row>
    <row r="33" spans="2:4" ht="36" customHeight="1" x14ac:dyDescent="0.35">
      <c r="B33" s="79" t="s">
        <v>388</v>
      </c>
      <c r="C33" s="79" t="s">
        <v>428</v>
      </c>
      <c r="D33" s="79" t="s">
        <v>390</v>
      </c>
    </row>
  </sheetData>
  <mergeCells count="7">
    <mergeCell ref="C18:D18"/>
    <mergeCell ref="C23:D23"/>
    <mergeCell ref="C20:D20"/>
    <mergeCell ref="C21:D21"/>
    <mergeCell ref="C24:D24"/>
    <mergeCell ref="C19:D19"/>
    <mergeCell ref="C22:D2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Volume Sizing</vt:lpstr>
      <vt:lpstr>Inference</vt:lpstr>
      <vt:lpstr>Inference (Groq)</vt:lpstr>
      <vt:lpstr>Embeddings</vt:lpstr>
      <vt:lpstr>Infrastructure</vt:lpstr>
      <vt:lpstr>Cost Savings</vt:lpstr>
      <vt:lpstr>Sources &amp; 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Aakash  Pardeshi</dc:creator>
  <cp:lastModifiedBy>Admin</cp:lastModifiedBy>
  <dcterms:created xsi:type="dcterms:W3CDTF">2026-09-12T10:38:39Z</dcterms:created>
  <dcterms:modified xsi:type="dcterms:W3CDTF">2026-10-08T10:00:50Z</dcterms:modified>
</cp:coreProperties>
</file>